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docs.live.net/10f64b811df2eee0/Bureaublad/"/>
    </mc:Choice>
  </mc:AlternateContent>
  <xr:revisionPtr revIDLastSave="2877" documentId="13_ncr:1_{F911D95B-2C2E-4778-A0F1-E9FE806E4A95}" xr6:coauthVersionLast="47" xr6:coauthVersionMax="47" xr10:uidLastSave="{AF6074A3-DF5B-46C7-A332-63F501C1448F}"/>
  <bookViews>
    <workbookView xWindow="28680" yWindow="-120" windowWidth="29040" windowHeight="15720" tabRatio="686" activeTab="11" xr2:uid="{00000000-000D-0000-FFFF-FFFF00000000}"/>
  </bookViews>
  <sheets>
    <sheet name="Januari" sheetId="4" r:id="rId1"/>
    <sheet name="Februari" sheetId="5" r:id="rId2"/>
    <sheet name="Maart" sheetId="17" r:id="rId3"/>
    <sheet name="April" sheetId="18" r:id="rId4"/>
    <sheet name="Mei" sheetId="19" r:id="rId5"/>
    <sheet name="Juni" sheetId="20" r:id="rId6"/>
    <sheet name="Juli" sheetId="21" r:id="rId7"/>
    <sheet name="Augustus" sheetId="22" r:id="rId8"/>
    <sheet name="September" sheetId="23" r:id="rId9"/>
    <sheet name="Oktober" sheetId="24" r:id="rId10"/>
    <sheet name="November" sheetId="25" r:id="rId11"/>
    <sheet name="December" sheetId="15" r:id="rId12"/>
    <sheet name="Werknemersnamen" sheetId="16" r:id="rId13"/>
  </sheets>
  <definedNames>
    <definedName name="_xlnm.Print_Titles" localSheetId="3">April!$4:$6</definedName>
    <definedName name="_xlnm.Print_Titles" localSheetId="7">Augustus!$4:$6</definedName>
    <definedName name="_xlnm.Print_Titles" localSheetId="11">December!$4:$6</definedName>
    <definedName name="_xlnm.Print_Titles" localSheetId="1">Februari!$4:$6</definedName>
    <definedName name="_xlnm.Print_Titles" localSheetId="0">Januari!$4:$6</definedName>
    <definedName name="_xlnm.Print_Titles" localSheetId="6">Juli!$4:$6</definedName>
    <definedName name="_xlnm.Print_Titles" localSheetId="5">Juni!$4:$6</definedName>
    <definedName name="_xlnm.Print_Titles" localSheetId="2">Maart!$4:$6</definedName>
    <definedName name="_xlnm.Print_Titles" localSheetId="4">Mei!$4:$6</definedName>
    <definedName name="_xlnm.Print_Titles" localSheetId="10">November!$4:$6</definedName>
    <definedName name="_xlnm.Print_Titles" localSheetId="9">Oktober!$4:$6</definedName>
    <definedName name="_xlnm.Print_Titles" localSheetId="8">September!$4:$6</definedName>
    <definedName name="CalendarYear">Januari!$AH$4</definedName>
    <definedName name="ColumnTitle13">WerknemerNaam[[#Headers],[Werknemersnamen]]</definedName>
    <definedName name="Employee_Absence_Title">Januari!$B$1</definedName>
    <definedName name="Key_name">Januari!$B$2</definedName>
    <definedName name="KeyCustom1">Januari!$N$2</definedName>
    <definedName name="KeyCustom1Label">Januari!$O$2</definedName>
    <definedName name="KeyCustom2">Januari!$R$2</definedName>
    <definedName name="KeyCustom2Label">Januari!$S$2</definedName>
    <definedName name="KeyPersonal">Januari!$G$2</definedName>
    <definedName name="KeyPersonalLabel">Januari!$H$2</definedName>
    <definedName name="KeySick">Januari!$K$2</definedName>
    <definedName name="KeySickLabel">Januari!$L$2</definedName>
    <definedName name="KeyVacation">Januari!$C$2</definedName>
    <definedName name="KeyVacationLabel">Januari!$D$2</definedName>
    <definedName name="MonthName" localSheetId="3">April!$B$4</definedName>
    <definedName name="MonthName" localSheetId="7">Augustus!$B$4</definedName>
    <definedName name="MonthName" localSheetId="11">December!$B$4</definedName>
    <definedName name="MonthName" localSheetId="1">Februari!$B$4</definedName>
    <definedName name="MonthName" localSheetId="0">Januari!$B$4</definedName>
    <definedName name="MonthName" localSheetId="6">Juli!$B$4</definedName>
    <definedName name="MonthName" localSheetId="5">Juni!$B$4</definedName>
    <definedName name="MonthName" localSheetId="2">Maart!$B$4</definedName>
    <definedName name="MonthName" localSheetId="4">Mei!$B$4</definedName>
    <definedName name="MonthName" localSheetId="10">November!$B$4</definedName>
    <definedName name="MonthName" localSheetId="9">Oktober!$B$4</definedName>
    <definedName name="MonthName" localSheetId="8">September!$B$4</definedName>
    <definedName name="Titel1">Januari[[#Headers],[Naam van werknemer]]</definedName>
    <definedName name="Titel10">Oktober[[#Headers],[Naam van werknemer]]</definedName>
    <definedName name="Titel11">November[[#Headers],[Naam van werknemer]]</definedName>
    <definedName name="Titel12">December[[#Headers],[Naam van werknemer]]</definedName>
    <definedName name="Titel2">Februari[[#Headers],[Naam van werknemer]]</definedName>
    <definedName name="Titel3">Maart[[#Headers],[Naam van werknemer]]</definedName>
    <definedName name="Titel4">April[[#Headers],[Naam van werknemer]]</definedName>
    <definedName name="Titel5">Mei[[#Headers],[Naam van werknemer]]</definedName>
    <definedName name="Titel6">Juni[[#Headers],[Naam van werknemer]]</definedName>
    <definedName name="Titel7">Juli[[#Headers],[Naam van werknemer]]</definedName>
    <definedName name="Titel8">Augustus[[#Headers],[Naam van werknemer]]</definedName>
    <definedName name="Titel9">September[[#Headers],[Naam van werknemer]]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8" i="24" l="1"/>
  <c r="AH8" i="22"/>
  <c r="AH11" i="17"/>
  <c r="C5" i="4"/>
  <c r="AH14" i="5" l="1"/>
  <c r="B19" i="4"/>
  <c r="B19" i="5"/>
  <c r="AH7" i="24"/>
  <c r="AH9" i="24"/>
  <c r="AH10" i="24"/>
  <c r="AH11" i="24"/>
  <c r="AH12" i="24"/>
  <c r="AH13" i="24"/>
  <c r="AH14" i="24"/>
  <c r="AH15" i="24"/>
  <c r="AH16" i="24"/>
  <c r="AH17" i="24"/>
  <c r="AH7" i="19"/>
  <c r="AH8" i="19"/>
  <c r="AH9" i="19"/>
  <c r="AH10" i="19"/>
  <c r="AH11" i="19"/>
  <c r="AH12" i="19"/>
  <c r="AH13" i="19"/>
  <c r="AH14" i="19"/>
  <c r="AH15" i="19"/>
  <c r="AH16" i="19"/>
  <c r="AH17" i="19"/>
  <c r="AH14" i="18"/>
  <c r="AH15" i="18"/>
  <c r="AH7" i="18"/>
  <c r="AH8" i="18"/>
  <c r="AH9" i="18"/>
  <c r="AH10" i="18"/>
  <c r="AH11" i="18"/>
  <c r="AH12" i="18"/>
  <c r="AH13" i="18"/>
  <c r="AH16" i="18"/>
  <c r="AH17" i="18"/>
  <c r="AH18" i="18"/>
  <c r="AH15" i="17"/>
  <c r="B20" i="17"/>
  <c r="B19" i="18"/>
  <c r="B18" i="19"/>
  <c r="B17" i="20"/>
  <c r="B14" i="21"/>
  <c r="B14" i="22"/>
  <c r="B16" i="23"/>
  <c r="AH7" i="5"/>
  <c r="AH8" i="5"/>
  <c r="AH9" i="5"/>
  <c r="AH10" i="5"/>
  <c r="AH11" i="5"/>
  <c r="AH12" i="5"/>
  <c r="AH13" i="5"/>
  <c r="AH15" i="5"/>
  <c r="AH16" i="5"/>
  <c r="AH17" i="5"/>
  <c r="AH18" i="5"/>
  <c r="C19" i="5"/>
  <c r="D19" i="5"/>
  <c r="E19" i="5"/>
  <c r="F19" i="5"/>
  <c r="G19" i="5"/>
  <c r="H19" i="5"/>
  <c r="I19" i="5"/>
  <c r="J19" i="5"/>
  <c r="K19" i="5"/>
  <c r="L19" i="5"/>
  <c r="M19" i="5"/>
  <c r="N19" i="5"/>
  <c r="O19" i="5"/>
  <c r="P19" i="5"/>
  <c r="Q19" i="5"/>
  <c r="R19" i="5"/>
  <c r="S19" i="5"/>
  <c r="T19" i="5"/>
  <c r="U19" i="5"/>
  <c r="V19" i="5"/>
  <c r="W19" i="5"/>
  <c r="X19" i="5"/>
  <c r="Y19" i="5"/>
  <c r="Z19" i="5"/>
  <c r="AA19" i="5"/>
  <c r="AB19" i="5"/>
  <c r="AC19" i="5"/>
  <c r="AD19" i="5"/>
  <c r="AE19" i="5"/>
  <c r="AF19" i="5"/>
  <c r="AH14" i="4"/>
  <c r="AH7" i="15"/>
  <c r="AH8" i="15"/>
  <c r="AH9" i="15"/>
  <c r="AH10" i="15"/>
  <c r="AH11" i="15"/>
  <c r="AH12" i="15"/>
  <c r="AH13" i="15"/>
  <c r="AH14" i="15"/>
  <c r="AH15" i="15"/>
  <c r="AH16" i="15"/>
  <c r="AH7" i="25"/>
  <c r="AH8" i="25"/>
  <c r="AH9" i="25"/>
  <c r="AH10" i="25"/>
  <c r="AH11" i="25"/>
  <c r="AH12" i="25"/>
  <c r="AH13" i="25"/>
  <c r="AH14" i="25"/>
  <c r="AH15" i="25"/>
  <c r="AH16" i="25"/>
  <c r="AH7" i="23"/>
  <c r="AH8" i="23"/>
  <c r="AH9" i="23"/>
  <c r="AH10" i="23"/>
  <c r="AH11" i="23"/>
  <c r="AH12" i="23"/>
  <c r="AH13" i="23"/>
  <c r="AH14" i="23"/>
  <c r="AH15" i="23"/>
  <c r="AH7" i="22"/>
  <c r="AH9" i="22"/>
  <c r="AH10" i="22"/>
  <c r="AH11" i="22"/>
  <c r="AH12" i="22"/>
  <c r="AH13" i="22"/>
  <c r="AH7" i="21"/>
  <c r="AH8" i="21"/>
  <c r="AH9" i="21"/>
  <c r="AH10" i="21"/>
  <c r="AH11" i="21"/>
  <c r="AH12" i="21"/>
  <c r="AH13" i="21"/>
  <c r="AH7" i="20"/>
  <c r="AH8" i="20"/>
  <c r="AH9" i="20"/>
  <c r="AH10" i="20"/>
  <c r="AH11" i="20"/>
  <c r="AH12" i="20"/>
  <c r="AH13" i="20"/>
  <c r="AH14" i="20"/>
  <c r="AH15" i="20"/>
  <c r="AH16" i="20"/>
  <c r="AH7" i="17"/>
  <c r="AH8" i="17"/>
  <c r="AH9" i="17"/>
  <c r="AH10" i="17"/>
  <c r="AH12" i="17"/>
  <c r="AH13" i="17"/>
  <c r="AH14" i="17"/>
  <c r="AH16" i="17"/>
  <c r="AH17" i="17"/>
  <c r="AH18" i="17"/>
  <c r="AH19" i="17"/>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AC17" i="15"/>
  <c r="AD17" i="15"/>
  <c r="AE17" i="15"/>
  <c r="AF17" i="15"/>
  <c r="AG17" i="15"/>
  <c r="C17" i="15"/>
  <c r="D17" i="25"/>
  <c r="E17" i="25"/>
  <c r="F17" i="25"/>
  <c r="G17" i="25"/>
  <c r="H17" i="25"/>
  <c r="I17" i="25"/>
  <c r="J17" i="25"/>
  <c r="K17" i="25"/>
  <c r="L17" i="25"/>
  <c r="M17" i="25"/>
  <c r="N17" i="25"/>
  <c r="O17" i="25"/>
  <c r="P17" i="25"/>
  <c r="Q17" i="25"/>
  <c r="R17" i="25"/>
  <c r="S17" i="25"/>
  <c r="T17" i="25"/>
  <c r="U17" i="25"/>
  <c r="V17" i="25"/>
  <c r="W17" i="25"/>
  <c r="X17" i="25"/>
  <c r="Y17" i="25"/>
  <c r="Z17" i="25"/>
  <c r="AA17" i="25"/>
  <c r="AB17" i="25"/>
  <c r="AC17" i="25"/>
  <c r="AD17" i="25"/>
  <c r="AE17" i="25"/>
  <c r="AF17" i="25"/>
  <c r="AG17" i="25"/>
  <c r="C17" i="25"/>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AG18" i="24"/>
  <c r="C18" i="24"/>
  <c r="D16" i="23"/>
  <c r="E16" i="23"/>
  <c r="F16" i="23"/>
  <c r="G16" i="23"/>
  <c r="H16" i="23"/>
  <c r="I16" i="23"/>
  <c r="J16" i="23"/>
  <c r="K16" i="23"/>
  <c r="L16" i="23"/>
  <c r="M16" i="23"/>
  <c r="N16" i="23"/>
  <c r="O16" i="23"/>
  <c r="P16" i="23"/>
  <c r="Q16" i="23"/>
  <c r="R16" i="23"/>
  <c r="S16" i="23"/>
  <c r="T16" i="23"/>
  <c r="U16" i="23"/>
  <c r="V16" i="23"/>
  <c r="W16" i="23"/>
  <c r="X16" i="23"/>
  <c r="Y16" i="23"/>
  <c r="Z16" i="23"/>
  <c r="AA16" i="23"/>
  <c r="AB16" i="23"/>
  <c r="AC16" i="23"/>
  <c r="AD16" i="23"/>
  <c r="AE16" i="23"/>
  <c r="AF16" i="23"/>
  <c r="AG16" i="23"/>
  <c r="C16" i="23"/>
  <c r="D14" i="22"/>
  <c r="E14" i="22"/>
  <c r="F14" i="22"/>
  <c r="G14"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AG14" i="22"/>
  <c r="C14" i="22"/>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C14" i="21"/>
  <c r="D17" i="20"/>
  <c r="E17" i="20"/>
  <c r="F17" i="20"/>
  <c r="G17" i="20"/>
  <c r="H17" i="20"/>
  <c r="I17" i="20"/>
  <c r="J17" i="20"/>
  <c r="K17" i="20"/>
  <c r="L17" i="20"/>
  <c r="M17" i="20"/>
  <c r="N17" i="20"/>
  <c r="O17" i="20"/>
  <c r="P17" i="20"/>
  <c r="Q17" i="20"/>
  <c r="R17" i="20"/>
  <c r="S17" i="20"/>
  <c r="T17" i="20"/>
  <c r="U17" i="20"/>
  <c r="V17" i="20"/>
  <c r="W17" i="20"/>
  <c r="X17" i="20"/>
  <c r="Y17" i="20"/>
  <c r="Z17" i="20"/>
  <c r="AA17" i="20"/>
  <c r="AB17" i="20"/>
  <c r="AC17" i="20"/>
  <c r="AD17" i="20"/>
  <c r="AE17" i="20"/>
  <c r="AF17" i="20"/>
  <c r="AG17" i="20"/>
  <c r="C17" i="20"/>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AG18" i="19"/>
  <c r="C18" i="19"/>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C19" i="18"/>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AG20" i="17"/>
  <c r="C20" i="17"/>
  <c r="AH7" i="4"/>
  <c r="AH8" i="4"/>
  <c r="AH9" i="4"/>
  <c r="AH10" i="4"/>
  <c r="AH11" i="4"/>
  <c r="AH12" i="4"/>
  <c r="AH13" i="4"/>
  <c r="AH15" i="4"/>
  <c r="AH16" i="4"/>
  <c r="AH17" i="4"/>
  <c r="AH18" i="4"/>
  <c r="B17" i="15"/>
  <c r="B17" i="25"/>
  <c r="B18" i="24"/>
  <c r="AH20" i="17" l="1"/>
  <c r="AH19" i="18"/>
  <c r="AH18" i="19"/>
  <c r="AH14" i="21"/>
  <c r="AH14" i="22"/>
  <c r="AH19" i="5"/>
  <c r="AH17" i="15"/>
  <c r="AH17" i="25"/>
  <c r="AH16" i="23"/>
  <c r="AH17" i="20"/>
  <c r="AH18" i="24"/>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AH4" i="25"/>
  <c r="B1" i="25"/>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AH4" i="24"/>
  <c r="B1" i="24"/>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AH4" i="23"/>
  <c r="B1" i="23"/>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H4" i="22"/>
  <c r="B1" i="22"/>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AH4" i="21"/>
  <c r="B1" i="21"/>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H4" i="20"/>
  <c r="B1" i="20"/>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H4" i="19"/>
  <c r="B1" i="19"/>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AH4" i="18"/>
  <c r="B1" i="18"/>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AH4" i="17"/>
  <c r="B1" i="17"/>
  <c r="B1" i="15"/>
  <c r="B1" i="5"/>
  <c r="AB5" i="5" l="1"/>
  <c r="AH4" i="5" l="1"/>
  <c r="AH4" i="15" l="1"/>
  <c r="AG5" i="15" l="1"/>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AE5" i="5" l="1"/>
  <c r="AD5" i="5"/>
  <c r="AC5" i="5"/>
  <c r="AA5" i="5"/>
  <c r="Z5" i="5"/>
  <c r="Y5" i="5"/>
  <c r="X5" i="5"/>
  <c r="W5" i="5"/>
  <c r="V5" i="5"/>
  <c r="U5" i="5"/>
  <c r="T5" i="5"/>
  <c r="S5" i="5"/>
  <c r="R5" i="5"/>
  <c r="Q5" i="5"/>
  <c r="P5" i="5"/>
  <c r="O5" i="5"/>
  <c r="N5" i="5"/>
  <c r="M5" i="5"/>
  <c r="L5" i="5"/>
  <c r="K5" i="5"/>
  <c r="J5" i="5"/>
  <c r="I5" i="5"/>
  <c r="H5" i="5"/>
  <c r="G5" i="5"/>
  <c r="F5" i="5"/>
  <c r="E5" i="5"/>
  <c r="D5" i="5"/>
  <c r="C5" i="5"/>
  <c r="AH19" i="4" l="1"/>
  <c r="AE5" i="4"/>
  <c r="AA5" i="4"/>
  <c r="W5" i="4"/>
  <c r="O5" i="4"/>
  <c r="G5" i="4"/>
  <c r="AD5" i="4"/>
  <c r="Z5" i="4"/>
  <c r="R5" i="4"/>
  <c r="N5" i="4"/>
  <c r="F5" i="4"/>
  <c r="M5" i="4"/>
  <c r="AG5" i="4"/>
  <c r="AC5" i="4"/>
  <c r="Y5" i="4"/>
  <c r="S5" i="4"/>
  <c r="K5" i="4"/>
  <c r="E5" i="4"/>
  <c r="AF5" i="4"/>
  <c r="AB5" i="4"/>
  <c r="X5" i="4"/>
  <c r="T5" i="4"/>
  <c r="P5" i="4"/>
  <c r="L5" i="4"/>
  <c r="H5" i="4"/>
  <c r="D5" i="4"/>
  <c r="Q5" i="4"/>
  <c r="I5" i="4"/>
  <c r="V5" i="4"/>
  <c r="J5" i="4"/>
  <c r="U5" i="4"/>
</calcChain>
</file>

<file path=xl/sharedStrings.xml><?xml version="1.0" encoding="utf-8"?>
<sst xmlns="http://schemas.openxmlformats.org/spreadsheetml/2006/main" count="3242" uniqueCount="81">
  <si>
    <t xml:space="preserve">Afwezigheidsplanning Werknemers </t>
  </si>
  <si>
    <t>Sleutel afwezigheidstype</t>
  </si>
  <si>
    <t>Januari</t>
  </si>
  <si>
    <t>Naam van werknemer</t>
  </si>
  <si>
    <t>V</t>
  </si>
  <si>
    <t>Afwezigheidsdatums</t>
  </si>
  <si>
    <t>1</t>
  </si>
  <si>
    <t>Vakantie</t>
  </si>
  <si>
    <t>2</t>
  </si>
  <si>
    <t>3</t>
  </si>
  <si>
    <t>P</t>
  </si>
  <si>
    <t>4</t>
  </si>
  <si>
    <t>Z</t>
  </si>
  <si>
    <t>5</t>
  </si>
  <si>
    <t>Persoonlijk</t>
  </si>
  <si>
    <t>6</t>
  </si>
  <si>
    <t>7</t>
  </si>
  <si>
    <t>8</t>
  </si>
  <si>
    <t>9</t>
  </si>
  <si>
    <t>Ziek</t>
  </si>
  <si>
    <t>10</t>
  </si>
  <si>
    <t>11</t>
  </si>
  <si>
    <t>12</t>
  </si>
  <si>
    <t>Aangepast 1</t>
  </si>
  <si>
    <t>13</t>
  </si>
  <si>
    <t>14</t>
  </si>
  <si>
    <t>15</t>
  </si>
  <si>
    <t>16</t>
  </si>
  <si>
    <t>Aangepast 2</t>
  </si>
  <si>
    <t>17</t>
  </si>
  <si>
    <t>18</t>
  </si>
  <si>
    <t>19</t>
  </si>
  <si>
    <t>20</t>
  </si>
  <si>
    <t>21</t>
  </si>
  <si>
    <t>22</t>
  </si>
  <si>
    <t>23</t>
  </si>
  <si>
    <t>24</t>
  </si>
  <si>
    <t>25</t>
  </si>
  <si>
    <t>26</t>
  </si>
  <si>
    <t>27</t>
  </si>
  <si>
    <t>28</t>
  </si>
  <si>
    <t>29</t>
  </si>
  <si>
    <t>30</t>
  </si>
  <si>
    <t>31</t>
  </si>
  <si>
    <t>Voer het jaar in:</t>
  </si>
  <si>
    <t>Februari</t>
  </si>
  <si>
    <t xml:space="preserve"> </t>
  </si>
  <si>
    <t xml:space="preserve">  </t>
  </si>
  <si>
    <t>Maart</t>
  </si>
  <si>
    <t>April</t>
  </si>
  <si>
    <t>Juni</t>
  </si>
  <si>
    <t>Juli</t>
  </si>
  <si>
    <t>Augustus</t>
  </si>
  <si>
    <t>september</t>
  </si>
  <si>
    <t>Oktober</t>
  </si>
  <si>
    <t>November</t>
  </si>
  <si>
    <t>December</t>
  </si>
  <si>
    <t>Werknemersnamen</t>
  </si>
  <si>
    <t>Mei</t>
  </si>
  <si>
    <t xml:space="preserve">Uren </t>
  </si>
  <si>
    <t>Kacar Abdullah</t>
  </si>
  <si>
    <t>Cinar Rafet</t>
  </si>
  <si>
    <t>Kefes Levent</t>
  </si>
  <si>
    <t>Irakoze Patrick</t>
  </si>
  <si>
    <t>El Maazouzi Abdelilah</t>
  </si>
  <si>
    <t>Biragoye Isaac</t>
  </si>
  <si>
    <t>Ander werk</t>
  </si>
  <si>
    <t>A</t>
  </si>
  <si>
    <t>Totaal aantal uren</t>
  </si>
  <si>
    <t>Nsengimana Alexis</t>
  </si>
  <si>
    <t>Gultekin Muhammed E</t>
  </si>
  <si>
    <t>Gultekin Muhammed A</t>
  </si>
  <si>
    <t>School</t>
  </si>
  <si>
    <t>S</t>
  </si>
  <si>
    <t>Cygora Lukasz Jan</t>
  </si>
  <si>
    <t>Moualdine Ali</t>
  </si>
  <si>
    <t>El Karmoudi Taufik</t>
  </si>
  <si>
    <t>Eranil Mehmet Fatih</t>
  </si>
  <si>
    <t>Gultekin Eyyub</t>
  </si>
  <si>
    <t>Eranil Mehmet Onur</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</si>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</sst>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0;0;"/>
    <numFmt numFmtId="167" formatCode="_-&quot;kr&quot;\ * #,##0.00_-;\-&quot;kr&quot;\ * #,##0.00_-;_-&quot;kr&quot;\ * &quot;-&quot;??_-;_-@_-"/>
    <numFmt numFmtId="168" formatCode="_-&quot;kr&quot;\ * #,##0_-;\-&quot;kr&quot;\ * #,##0_-;_-&quot;kr&quot;\ * &quot;-&quot;_-;_-@_-"/>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36">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8" tint="0.39997558519241921"/>
        <bgColor indexed="64"/>
      </patternFill>
    </fill>
    <fill>
      <patternFill patternType="solid">
        <fgColor theme="6" tint="0.39997558519241921"/>
        <bgColor indexed="64"/>
      </patternFill>
    </fill>
    <fill>
      <patternFill patternType="solid">
        <fgColor theme="4" tint="0.39997558519241921"/>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horizontal="left" vertical="center"/>
    </xf>
    <xf numFmtId="0" fontId="6" fillId="0" borderId="0" applyNumberFormat="0" applyFill="0" applyBorder="0" applyProtection="0">
      <alignment vertical="top"/>
    </xf>
    <xf numFmtId="0" fontId="4" fillId="0" borderId="0" applyNumberFormat="0" applyFill="0" applyBorder="0" applyProtection="0">
      <alignment vertical="top"/>
    </xf>
    <xf numFmtId="0" fontId="5" fillId="2" borderId="0" applyNumberFormat="0" applyBorder="0" applyProtection="0">
      <alignment horizontal="center" vertical="center"/>
    </xf>
    <xf numFmtId="0" fontId="2" fillId="20" borderId="0" applyNumberFormat="0" applyProtection="0">
      <alignment horizontal="right" vertical="center" indent="1"/>
    </xf>
    <xf numFmtId="0" fontId="1" fillId="0" borderId="0" applyNumberFormat="0" applyFill="0" applyBorder="0" applyProtection="0">
      <alignment horizontal="left" vertical="center" indent="2"/>
    </xf>
    <xf numFmtId="0" fontId="3"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3"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3"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7" fillId="0" borderId="0">
      <alignment horizontal="center"/>
    </xf>
    <xf numFmtId="165"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0" fontId="9" fillId="21" borderId="0" applyNumberFormat="0" applyBorder="0" applyAlignment="0" applyProtection="0"/>
    <xf numFmtId="0" fontId="10" fillId="22" borderId="0" applyNumberFormat="0" applyBorder="0" applyAlignment="0" applyProtection="0"/>
    <xf numFmtId="0" fontId="11" fillId="23" borderId="0" applyNumberFormat="0" applyBorder="0" applyAlignment="0" applyProtection="0"/>
    <xf numFmtId="0" fontId="12" fillId="24" borderId="1" applyNumberFormat="0" applyAlignment="0" applyProtection="0"/>
    <xf numFmtId="0" fontId="13" fillId="25" borderId="2" applyNumberFormat="0" applyAlignment="0" applyProtection="0"/>
    <xf numFmtId="0" fontId="14" fillId="25" borderId="1" applyNumberFormat="0" applyAlignment="0" applyProtection="0"/>
    <xf numFmtId="0" fontId="15" fillId="0" borderId="3" applyNumberFormat="0" applyFill="0" applyAlignment="0" applyProtection="0"/>
    <xf numFmtId="0" fontId="16" fillId="26" borderId="4" applyNumberFormat="0" applyAlignment="0" applyProtection="0"/>
    <xf numFmtId="0" fontId="17" fillId="0" borderId="0" applyNumberFormat="0" applyFill="0" applyBorder="0" applyAlignment="0" applyProtection="0"/>
    <xf numFmtId="0" fontId="1" fillId="27" borderId="5" applyNumberFormat="0" applyFont="0" applyAlignment="0" applyProtection="0"/>
    <xf numFmtId="0" fontId="18" fillId="0" borderId="0" applyNumberFormat="0" applyFill="0" applyBorder="0" applyAlignment="0" applyProtection="0"/>
    <xf numFmtId="0" fontId="1" fillId="28" borderId="0" applyNumberFormat="0" applyBorder="0" applyAlignment="0" applyProtection="0"/>
    <xf numFmtId="0" fontId="1" fillId="29" borderId="0" applyNumberFormat="0" applyBorder="0" applyAlignment="0" applyProtection="0"/>
    <xf numFmtId="0" fontId="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alignment horizontal="left" vertical="center"/>
    </xf>
    <xf numFmtId="0" fontId="0" fillId="0" borderId="0" xfId="0" applyAlignment="1">
      <alignment horizontal="center" vertical="center"/>
    </xf>
    <xf numFmtId="0" fontId="2" fillId="15" borderId="0" xfId="12" applyAlignment="1" applyProtection="1">
      <alignment horizontal="center" vertical="center"/>
    </xf>
    <xf numFmtId="0" fontId="2" fillId="10" borderId="0" xfId="19" applyAlignment="1" applyProtection="1">
      <alignment horizontal="center" vertical="center"/>
    </xf>
    <xf numFmtId="0" fontId="2" fillId="13" borderId="0" xfId="23" applyAlignment="1" applyProtection="1">
      <alignment horizontal="center" vertical="center"/>
    </xf>
    <xf numFmtId="166" fontId="2" fillId="9" borderId="0" xfId="8" applyNumberFormat="1" applyAlignment="1" applyProtection="1">
      <alignment horizontal="center" vertical="center"/>
    </xf>
    <xf numFmtId="166" fontId="2" fillId="14" borderId="0" xfId="24" applyNumberFormat="1" applyAlignment="1" applyProtection="1">
      <alignment horizontal="center" vertical="center"/>
    </xf>
    <xf numFmtId="1" fontId="1" fillId="0" borderId="0" xfId="25" applyFill="1" applyBorder="1" applyProtection="1">
      <alignment horizontal="center" vertical="center"/>
    </xf>
    <xf numFmtId="0" fontId="5" fillId="2" borderId="0" xfId="3" applyProtection="1">
      <alignment horizontal="center" vertical="center"/>
    </xf>
    <xf numFmtId="166" fontId="0" fillId="0" borderId="0" xfId="0" applyNumberFormat="1" applyAlignment="1">
      <alignment horizontal="center" vertical="center"/>
    </xf>
    <xf numFmtId="0" fontId="6" fillId="0" borderId="0" xfId="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0" fillId="0" borderId="0" xfId="0" applyAlignment="1">
      <alignment horizontal="left" vertical="center" wrapText="1"/>
    </xf>
    <xf numFmtId="0" fontId="2" fillId="20" borderId="0" xfId="4" applyProtection="1">
      <alignment horizontal="right" vertical="center" indent="1"/>
    </xf>
    <xf numFmtId="0" fontId="7" fillId="0" borderId="0" xfId="27">
      <alignment horizontal="center"/>
    </xf>
    <xf numFmtId="0" fontId="0" fillId="0" borderId="0" xfId="0" applyAlignment="1">
      <alignment horizontal="left" vertical="center" indent="1"/>
    </xf>
    <xf numFmtId="0" fontId="6" fillId="0" borderId="0" xfId="1">
      <alignment vertical="top"/>
    </xf>
    <xf numFmtId="0" fontId="8" fillId="0" borderId="0" xfId="0" applyFont="1" applyAlignment="1">
      <alignment horizontal="center" vertical="center"/>
    </xf>
    <xf numFmtId="0" fontId="1" fillId="0" borderId="0" xfId="26" applyNumberFormat="1" applyFill="1" applyAlignment="1">
      <alignment vertical="center" wrapText="1"/>
    </xf>
    <xf numFmtId="0" fontId="0" fillId="0" borderId="0" xfId="0" applyAlignment="1">
      <alignment vertical="center"/>
    </xf>
    <xf numFmtId="0" fontId="2" fillId="33" borderId="0" xfId="12" applyFill="1" applyAlignment="1" applyProtection="1">
      <alignment horizontal="center" vertical="center"/>
    </xf>
    <xf numFmtId="166" fontId="2" fillId="34" borderId="0" xfId="24" applyNumberFormat="1" applyFill="1" applyAlignment="1" applyProtection="1">
      <alignment horizontal="center" vertical="center"/>
    </xf>
    <xf numFmtId="0" fontId="2" fillId="35" borderId="0" xfId="23" applyFill="1" applyAlignment="1" applyProtection="1">
      <alignment horizontal="center" vertical="center"/>
    </xf>
    <xf numFmtId="0" fontId="5" fillId="2" borderId="0" xfId="3" applyProtection="1">
      <alignment horizontal="center" vertical="center"/>
    </xf>
    <xf numFmtId="0" fontId="1" fillId="2" borderId="0" xfId="21" applyAlignment="1" applyProtection="1">
      <alignment horizontal="left" vertical="center"/>
    </xf>
  </cellXfs>
  <cellStyles count="49">
    <cellStyle name="20% - Accent1" xfId="15" builtinId="30" customBuiltin="1"/>
    <cellStyle name="20% - Accent2" xfId="44" builtinId="34" customBuiltin="1"/>
    <cellStyle name="20% - Accent3" xfId="21" builtinId="38" customBuiltin="1"/>
    <cellStyle name="20% - Accent4" xfId="7" builtinId="42" customBuiltin="1"/>
    <cellStyle name="20% - Accent5" xfId="47" builtinId="46"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2" xfId="45" builtinId="36" customBuiltin="1"/>
    <cellStyle name="60% - Accent3" xfId="23" builtinId="40" customBuiltin="1"/>
    <cellStyle name="60% - Accent4" xfId="9" builtinId="44" customBuiltin="1"/>
    <cellStyle name="60% - Accent5" xfId="48" builtinId="48"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5" xfId="46" builtinId="45" customBuiltin="1"/>
    <cellStyle name="Accent6" xfId="10" builtinId="49" customBuiltin="1"/>
    <cellStyle name="Berekening" xfId="38" builtinId="22" customBuiltin="1"/>
    <cellStyle name="Controlecel" xfId="40" builtinId="23" customBuiltin="1"/>
    <cellStyle name="Etiket" xfId="27" xr:uid="{00000000-0005-0000-0000-000018000000}"/>
    <cellStyle name="Gekoppelde cel" xfId="39" builtinId="24" customBuiltin="1"/>
    <cellStyle name="Goed" xfId="33" builtinId="26" customBuiltin="1"/>
    <cellStyle name="Invoer" xfId="36" builtinId="20" customBuiltin="1"/>
    <cellStyle name="Komma" xfId="28" builtinId="3" customBuiltin="1"/>
    <cellStyle name="Komma [0]" xfId="29" builtinId="6" customBuiltin="1"/>
    <cellStyle name="Kop 1" xfId="2" builtinId="16" customBuiltin="1"/>
    <cellStyle name="Kop 2" xfId="3" builtinId="17" customBuiltin="1"/>
    <cellStyle name="Kop 3" xfId="4" builtinId="18" customBuiltin="1"/>
    <cellStyle name="Kop 4" xfId="5" builtinId="19" customBuiltin="1"/>
    <cellStyle name="Neutraal" xfId="35" builtinId="28" customBuiltin="1"/>
    <cellStyle name="Notitie" xfId="42" builtinId="10" customBuiltin="1"/>
    <cellStyle name="Ongeldig" xfId="34" builtinId="27" customBuiltin="1"/>
    <cellStyle name="Procent" xfId="32" builtinId="5" customBuiltin="1"/>
    <cellStyle name="Standaard" xfId="0" builtinId="0" customBuiltin="1"/>
    <cellStyle name="Titel" xfId="1" builtinId="15" customBuiltin="1"/>
    <cellStyle name="Totaal" xfId="25" builtinId="25" customBuiltin="1"/>
    <cellStyle name="Uitvoer" xfId="37" builtinId="21" customBuiltin="1"/>
    <cellStyle name="Valuta" xfId="30" builtinId="4" customBuiltin="1"/>
    <cellStyle name="Valuta [0]" xfId="31" builtinId="7" customBuiltin="1"/>
    <cellStyle name="Verklarende tekst" xfId="43" builtinId="53" customBuiltin="1"/>
    <cellStyle name="Waarschuwingstekst" xfId="41" builtinId="11" customBuiltin="1"/>
    <cellStyle name="Werknemer" xfId="26" xr:uid="{00000000-0005-0000-0000-000013000000}"/>
  </cellStyles>
  <dxfs count="1481">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left" vertical="center" textRotation="0" wrapText="0" indent="1" justifyLastLine="0" shrinkToFit="0" readingOrder="0"/>
    </dxf>
    <dxf>
      <font>
        <color theme="1"/>
      </font>
      <fill>
        <patternFill>
          <bgColor theme="5"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b val="0"/>
        <i val="0"/>
        <color theme="3"/>
      </font>
      <border>
        <vertical/>
        <horizontal/>
      </border>
    </dxf>
    <dxf>
      <font>
        <color theme="0"/>
      </font>
      <border>
        <vertical/>
        <horizontal/>
      </border>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alignment horizontal="left" vertical="center" textRotation="0" wrapText="1" indent="2" justifyLastLine="0" shrinkToFit="0" readingOrder="0"/>
      <protection locked="1" hidden="0"/>
    </dxf>
    <dxf>
      <numFmt numFmtId="1" formatCode="0"/>
      <fill>
        <patternFill patternType="none">
          <fgColor indexed="64"/>
          <bgColor indexed="65"/>
        </patternFill>
      </fill>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alignment horizontal="center" vertical="center" textRotation="0" wrapText="0" indent="0" justifyLastLine="0" shrinkToFit="0" readingOrder="0"/>
      <protection locked="1" hidden="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protection locked="1" hidden="0"/>
    </dxf>
    <dxf>
      <alignment horizontal="left" vertical="center" textRotation="0" wrapText="0" indent="1" justifyLastLine="0" shrinkToFit="0" readingOrder="0"/>
    </dxf>
    <dxf>
      <fill>
        <patternFill patternType="none">
          <fgColor indexed="64"/>
          <bgColor indexed="65"/>
        </patternFill>
      </fill>
      <protection locked="1" hidden="0"/>
    </dxf>
    <dxf>
      <protection locked="1" hidden="0"/>
    </dxf>
    <dxf>
      <fill>
        <patternFill patternType="none">
          <fgColor indexed="64"/>
          <bgColor indexed="65"/>
        </patternFill>
      </fill>
      <alignment horizontal="center" vertical="center" textRotation="0" wrapText="0" indent="0" justifyLastLine="0" shrinkToFit="0" readingOrder="0"/>
      <protection locked="1" hidden="0"/>
    </dxf>
    <dxf>
      <protection locked="1" hidden="0"/>
    </dxf>
    <dxf>
      <numFmt numFmtId="166" formatCode="0;0;"/>
      <alignment horizontal="center" vertical="center" textRotation="0" wrapText="0" indent="0" justifyLastLine="0" shrinkToFit="0" readingOrder="0"/>
    </dxf>
    <dxf>
      <numFmt numFmtId="1" formatCode="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protection locked="1" hidden="0"/>
    </dxf>
    <dxf>
      <protection locked="1" hidden="0"/>
    </dxf>
    <dxf>
      <protection locked="1" hidden="0"/>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PivotStyle="PivotStyleLight16">
    <tableStyle name="Werknemers Verzuimtabel" pivot="0" count="13" xr9:uid="{00000000-0011-0000-FFFF-FFFF00000000}">
      <tableStyleElement type="wholeTable" dxfId="1480"/>
      <tableStyleElement type="headerRow" dxfId="1479"/>
      <tableStyleElement type="totalRow" dxfId="1478"/>
      <tableStyleElement type="firstColumn" dxfId="1477"/>
      <tableStyleElement type="lastColumn" dxfId="1476"/>
      <tableStyleElement type="firstRowStripe" dxfId="1475"/>
      <tableStyleElement type="secondRowStripe" dxfId="1474"/>
      <tableStyleElement type="firstColumnStripe" dxfId="1473"/>
      <tableStyleElement type="secondColumnStripe" dxfId="1472"/>
      <tableStyleElement type="firstHeaderCell" dxfId="1471"/>
      <tableStyleElement type="lastHeaderCell" dxfId="1470"/>
      <tableStyleElement type="firstTotalCell" dxfId="1469"/>
      <tableStyleElement type="lastTotalCell" dxfId="14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i" displayName="Januari" ref="B6:AH19" totalsRowCount="1" headerRowDxfId="1467" dataDxfId="1466" totalsRowDxfId="1465">
  <autoFilter ref="B6:AH1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Naam van werknemer" totalsRowFunction="custom">
      <totalsRowFormula>MonthName&amp;" Totaal"</totalsRowFormula>
    </tableColumn>
    <tableColumn id="2" xr3:uid="{00000000-0010-0000-0000-000002000000}" name="1" dataDxfId="1464" totalsRowDxfId="1463"/>
    <tableColumn id="3" xr3:uid="{00000000-0010-0000-0000-000003000000}" name="2" dataDxfId="1462" totalsRowDxfId="1461"/>
    <tableColumn id="4" xr3:uid="{00000000-0010-0000-0000-000004000000}" name="3" dataDxfId="1460" totalsRowDxfId="1459"/>
    <tableColumn id="5" xr3:uid="{00000000-0010-0000-0000-000005000000}" name="4" dataDxfId="1458" totalsRowDxfId="1457"/>
    <tableColumn id="6" xr3:uid="{00000000-0010-0000-0000-000006000000}" name="5" totalsRowDxfId="1456"/>
    <tableColumn id="7" xr3:uid="{00000000-0010-0000-0000-000007000000}" name="6" dataDxfId="1455" totalsRowDxfId="1454"/>
    <tableColumn id="8" xr3:uid="{00000000-0010-0000-0000-000008000000}" name="7" dataDxfId="1453" totalsRowDxfId="1452"/>
    <tableColumn id="9" xr3:uid="{00000000-0010-0000-0000-000009000000}" name="8" dataDxfId="1451" totalsRowDxfId="1450"/>
    <tableColumn id="10" xr3:uid="{00000000-0010-0000-0000-00000A000000}" name="9" dataDxfId="1449" totalsRowDxfId="1448"/>
    <tableColumn id="11" xr3:uid="{00000000-0010-0000-0000-00000B000000}" name="10" dataDxfId="1447" totalsRowDxfId="1446"/>
    <tableColumn id="12" xr3:uid="{00000000-0010-0000-0000-00000C000000}" name="11" dataDxfId="1445" totalsRowDxfId="1444"/>
    <tableColumn id="13" xr3:uid="{00000000-0010-0000-0000-00000D000000}" name="12" dataDxfId="1443" totalsRowDxfId="1442"/>
    <tableColumn id="14" xr3:uid="{00000000-0010-0000-0000-00000E000000}" name="13" dataDxfId="1441" totalsRowDxfId="1440"/>
    <tableColumn id="15" xr3:uid="{00000000-0010-0000-0000-00000F000000}" name="14" dataDxfId="1439" totalsRowDxfId="1438"/>
    <tableColumn id="16" xr3:uid="{00000000-0010-0000-0000-000010000000}" name="15" dataDxfId="1437" totalsRowDxfId="1436"/>
    <tableColumn id="17" xr3:uid="{00000000-0010-0000-0000-000011000000}" name="16" dataDxfId="1435" totalsRowDxfId="1434"/>
    <tableColumn id="18" xr3:uid="{00000000-0010-0000-0000-000012000000}" name="17" dataDxfId="1433" totalsRowDxfId="1432"/>
    <tableColumn id="19" xr3:uid="{00000000-0010-0000-0000-000013000000}" name="18" dataDxfId="1431" totalsRowDxfId="1430"/>
    <tableColumn id="20" xr3:uid="{00000000-0010-0000-0000-000014000000}" name="19" dataDxfId="1429" totalsRowDxfId="1428"/>
    <tableColumn id="21" xr3:uid="{00000000-0010-0000-0000-000015000000}" name="20" dataDxfId="1427" totalsRowDxfId="1426"/>
    <tableColumn id="22" xr3:uid="{00000000-0010-0000-0000-000016000000}" name="21" dataDxfId="1425" totalsRowDxfId="1424"/>
    <tableColumn id="23" xr3:uid="{00000000-0010-0000-0000-000017000000}" name="22" dataDxfId="1423" totalsRowDxfId="1422"/>
    <tableColumn id="24" xr3:uid="{00000000-0010-0000-0000-000018000000}" name="23" dataDxfId="1421" totalsRowDxfId="1420"/>
    <tableColumn id="25" xr3:uid="{00000000-0010-0000-0000-000019000000}" name="24" dataDxfId="1419" totalsRowDxfId="1418"/>
    <tableColumn id="26" xr3:uid="{00000000-0010-0000-0000-00001A000000}" name="25" dataDxfId="1417" totalsRowDxfId="1416"/>
    <tableColumn id="27" xr3:uid="{00000000-0010-0000-0000-00001B000000}" name="26" dataDxfId="1415" totalsRowDxfId="1414"/>
    <tableColumn id="28" xr3:uid="{00000000-0010-0000-0000-00001C000000}" name="27" dataDxfId="1413" totalsRowDxfId="1412"/>
    <tableColumn id="29" xr3:uid="{00000000-0010-0000-0000-00001D000000}" name="28" dataDxfId="1411" totalsRowDxfId="1410"/>
    <tableColumn id="30" xr3:uid="{00000000-0010-0000-0000-00001E000000}" name="29" dataDxfId="1409" totalsRowDxfId="1408"/>
    <tableColumn id="31" xr3:uid="{00000000-0010-0000-0000-00001F000000}" name="30" dataDxfId="1407" totalsRowDxfId="1406"/>
    <tableColumn id="32" xr3:uid="{00000000-0010-0000-0000-000020000000}" name="31" dataDxfId="1405" totalsRowDxfId="1404"/>
    <tableColumn id="33" xr3:uid="{00000000-0010-0000-0000-000021000000}" name="Totaal aantal uren" totalsRowFunction="sum" dataDxfId="1403" totalsRowDxfId="1402" dataCellStyle="Totaal">
      <calculatedColumnFormula>SUM(Januari!$C7:$AG7)</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i" displayName="Februari" ref="B6:AH19" totalsRowCount="1" headerRowDxfId="1401" dataDxfId="1400" totalsRowDxfId="1399">
  <tableColumns count="33">
    <tableColumn id="1" xr3:uid="{00000000-0010-0000-0100-000001000000}" name="Naam van werknemer" totalsRowFunction="custom" dataDxfId="1398" totalsRowDxfId="1397" dataCellStyle="Werknemer">
      <totalsRowFormula>MonthName&amp;" Totaal"</totalsRowFormula>
    </tableColumn>
    <tableColumn id="2" xr3:uid="{00000000-0010-0000-0100-000002000000}" name="1" totalsRowFunction="sum" dataDxfId="1396" totalsRowDxfId="1395"/>
    <tableColumn id="3" xr3:uid="{00000000-0010-0000-0100-000003000000}" name="2" totalsRowFunction="sum" dataDxfId="1394" totalsRowDxfId="1393"/>
    <tableColumn id="4" xr3:uid="{00000000-0010-0000-0100-000004000000}" name="3" totalsRowFunction="sum" dataDxfId="1392" totalsRowDxfId="1391"/>
    <tableColumn id="5" xr3:uid="{00000000-0010-0000-0100-000005000000}" name="4" totalsRowFunction="sum" dataDxfId="1390" totalsRowDxfId="1389"/>
    <tableColumn id="6" xr3:uid="{00000000-0010-0000-0100-000006000000}" name="5" totalsRowFunction="sum" dataDxfId="1388" totalsRowDxfId="1387"/>
    <tableColumn id="7" xr3:uid="{00000000-0010-0000-0100-000007000000}" name="6" totalsRowFunction="sum" dataDxfId="1386" totalsRowDxfId="1385"/>
    <tableColumn id="8" xr3:uid="{00000000-0010-0000-0100-000008000000}" name="7" totalsRowFunction="sum" dataDxfId="1384" totalsRowDxfId="1383"/>
    <tableColumn id="9" xr3:uid="{00000000-0010-0000-0100-000009000000}" name="8" totalsRowFunction="sum" dataDxfId="1382" totalsRowDxfId="1381"/>
    <tableColumn id="10" xr3:uid="{00000000-0010-0000-0100-00000A000000}" name="9" totalsRowFunction="sum" dataDxfId="1380" totalsRowDxfId="1379"/>
    <tableColumn id="11" xr3:uid="{00000000-0010-0000-0100-00000B000000}" name="10" totalsRowFunction="sum" dataDxfId="1378" totalsRowDxfId="1377"/>
    <tableColumn id="12" xr3:uid="{00000000-0010-0000-0100-00000C000000}" name="11" totalsRowFunction="sum" dataDxfId="1376" totalsRowDxfId="1375"/>
    <tableColumn id="13" xr3:uid="{00000000-0010-0000-0100-00000D000000}" name="12" totalsRowFunction="sum" dataDxfId="1374" totalsRowDxfId="1373"/>
    <tableColumn id="14" xr3:uid="{00000000-0010-0000-0100-00000E000000}" name="13" totalsRowFunction="sum" dataDxfId="1372" totalsRowDxfId="1371"/>
    <tableColumn id="15" xr3:uid="{00000000-0010-0000-0100-00000F000000}" name="14" totalsRowFunction="sum" dataDxfId="1370" totalsRowDxfId="1369"/>
    <tableColumn id="16" xr3:uid="{00000000-0010-0000-0100-000010000000}" name="15" totalsRowFunction="sum" dataDxfId="1368" totalsRowDxfId="1367"/>
    <tableColumn id="17" xr3:uid="{00000000-0010-0000-0100-000011000000}" name="16" totalsRowFunction="sum" dataDxfId="1366" totalsRowDxfId="1365"/>
    <tableColumn id="18" xr3:uid="{00000000-0010-0000-0100-000012000000}" name="17" totalsRowFunction="sum" dataDxfId="1364" totalsRowDxfId="1363"/>
    <tableColumn id="19" xr3:uid="{00000000-0010-0000-0100-000013000000}" name="18" totalsRowFunction="sum" dataDxfId="1362" totalsRowDxfId="1361"/>
    <tableColumn id="20" xr3:uid="{00000000-0010-0000-0100-000014000000}" name="19" totalsRowFunction="sum" dataDxfId="1360" totalsRowDxfId="1359"/>
    <tableColumn id="21" xr3:uid="{00000000-0010-0000-0100-000015000000}" name="20" totalsRowFunction="sum" dataDxfId="1358" totalsRowDxfId="1357"/>
    <tableColumn id="22" xr3:uid="{00000000-0010-0000-0100-000016000000}" name="21" totalsRowFunction="sum" dataDxfId="1356" totalsRowDxfId="1355"/>
    <tableColumn id="23" xr3:uid="{00000000-0010-0000-0100-000017000000}" name="22" totalsRowFunction="sum" dataDxfId="1354" totalsRowDxfId="1353"/>
    <tableColumn id="24" xr3:uid="{00000000-0010-0000-0100-000018000000}" name="23" totalsRowFunction="sum" dataDxfId="1352" totalsRowDxfId="1351"/>
    <tableColumn id="25" xr3:uid="{00000000-0010-0000-0100-000019000000}" name="24" totalsRowFunction="sum" dataDxfId="1350" totalsRowDxfId="1349"/>
    <tableColumn id="26" xr3:uid="{00000000-0010-0000-0100-00001A000000}" name="25" totalsRowFunction="sum" dataDxfId="1348" totalsRowDxfId="1347"/>
    <tableColumn id="27" xr3:uid="{00000000-0010-0000-0100-00001B000000}" name="26" totalsRowFunction="sum" dataDxfId="1346" totalsRowDxfId="1345"/>
    <tableColumn id="28" xr3:uid="{00000000-0010-0000-0100-00001C000000}" name="27" totalsRowFunction="sum" dataDxfId="1344" totalsRowDxfId="1343"/>
    <tableColumn id="29" xr3:uid="{00000000-0010-0000-0100-00001D000000}" name="28" totalsRowFunction="sum" dataDxfId="1342" totalsRowDxfId="1341"/>
    <tableColumn id="30" xr3:uid="{00000000-0010-0000-0100-00001E000000}" name="29" totalsRowFunction="sum" dataDxfId="1340" totalsRowDxfId="1339"/>
    <tableColumn id="31" xr3:uid="{00000000-0010-0000-0100-00001F000000}" name=" " totalsRowFunction="sum" dataDxfId="1338" totalsRowDxfId="1337"/>
    <tableColumn id="32" xr3:uid="{00000000-0010-0000-0100-000020000000}" name="  " dataDxfId="1336" totalsRowDxfId="1335"/>
    <tableColumn id="33" xr3:uid="{00000000-0010-0000-0100-000021000000}" name="Totaal aantal uren" totalsRowFunction="sum" dataDxfId="1334" totalsRowDxfId="1333" dataCellStyle="Totaal">
      <calculatedColumnFormula>SUM(Februari[[#This Row],[1]:[28]])</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art" displayName="Maart" ref="B6:AH20" totalsRowCount="1" headerRowDxfId="1332" dataDxfId="1331" totalsRowDxfId="1330">
  <tableColumns count="33">
    <tableColumn id="1" xr3:uid="{00000000-0010-0000-0200-000001000000}" name="Naam van werknemer" totalsRowFunction="custom" dataDxfId="1329" totalsRowDxfId="1328" dataCellStyle="Werknemer">
      <totalsRowFormula>MonthName&amp;" Totaal"</totalsRowFormula>
    </tableColumn>
    <tableColumn id="2" xr3:uid="{00000000-0010-0000-0200-000002000000}" name="1" totalsRowFunction="custom" dataDxfId="1327" totalsRowDxfId="1326">
      <totalsRowFormula>SUM(Maart!C8:C19)</totalsRowFormula>
    </tableColumn>
    <tableColumn id="3" xr3:uid="{00000000-0010-0000-0200-000003000000}" name="2" totalsRowFunction="custom" dataDxfId="1325" totalsRowDxfId="1324">
      <totalsRowFormula>SUM(Maart!D8:D19)</totalsRowFormula>
    </tableColumn>
    <tableColumn id="4" xr3:uid="{00000000-0010-0000-0200-000004000000}" name="3" totalsRowFunction="custom" dataDxfId="1323" totalsRowDxfId="1322">
      <totalsRowFormula>SUM(Maart!E7:E19)</totalsRowFormula>
    </tableColumn>
    <tableColumn id="5" xr3:uid="{00000000-0010-0000-0200-000005000000}" name="4" totalsRowFunction="custom" dataDxfId="1321" totalsRowDxfId="1320">
      <totalsRowFormula>SUM(Maart!F7:F19)</totalsRowFormula>
    </tableColumn>
    <tableColumn id="6" xr3:uid="{00000000-0010-0000-0200-000006000000}" name="5" totalsRowFunction="custom" dataDxfId="1319" totalsRowDxfId="1318">
      <totalsRowFormula>SUM(Maart!G7:G19)</totalsRowFormula>
    </tableColumn>
    <tableColumn id="7" xr3:uid="{00000000-0010-0000-0200-000007000000}" name="6" totalsRowFunction="custom" dataDxfId="1317" totalsRowDxfId="1316">
      <totalsRowFormula>SUM(Maart!H7:H19)</totalsRowFormula>
    </tableColumn>
    <tableColumn id="8" xr3:uid="{00000000-0010-0000-0200-000008000000}" name="7" totalsRowFunction="custom" dataDxfId="1315" totalsRowDxfId="1314">
      <totalsRowFormula>SUM(Maart!I7:I19)</totalsRowFormula>
    </tableColumn>
    <tableColumn id="9" xr3:uid="{00000000-0010-0000-0200-000009000000}" name="8" totalsRowFunction="custom" dataDxfId="1313" totalsRowDxfId="1312">
      <totalsRowFormula>SUM(Maart!J7:J19)</totalsRowFormula>
    </tableColumn>
    <tableColumn id="10" xr3:uid="{00000000-0010-0000-0200-00000A000000}" name="9" totalsRowFunction="custom" dataDxfId="1311" totalsRowDxfId="1310">
      <totalsRowFormula>SUM(Maart!K7:K19)</totalsRowFormula>
    </tableColumn>
    <tableColumn id="11" xr3:uid="{00000000-0010-0000-0200-00000B000000}" name="10" totalsRowFunction="custom" dataDxfId="1309" totalsRowDxfId="1308">
      <totalsRowFormula>SUM(Maart!L7:L19)</totalsRowFormula>
    </tableColumn>
    <tableColumn id="12" xr3:uid="{00000000-0010-0000-0200-00000C000000}" name="11" totalsRowFunction="custom" dataDxfId="1307" totalsRowDxfId="1306">
      <totalsRowFormula>SUM(Maart!M7:M19)</totalsRowFormula>
    </tableColumn>
    <tableColumn id="13" xr3:uid="{00000000-0010-0000-0200-00000D000000}" name="12" totalsRowFunction="custom" dataDxfId="1305" totalsRowDxfId="1304">
      <totalsRowFormula>SUM(Maart!N7:N19)</totalsRowFormula>
    </tableColumn>
    <tableColumn id="14" xr3:uid="{00000000-0010-0000-0200-00000E000000}" name="13" totalsRowFunction="custom" dataDxfId="1303" totalsRowDxfId="1302">
      <totalsRowFormula>SUM(Maart!O7:O19)</totalsRowFormula>
    </tableColumn>
    <tableColumn id="15" xr3:uid="{00000000-0010-0000-0200-00000F000000}" name="14" totalsRowFunction="custom" dataDxfId="1301" totalsRowDxfId="1300">
      <totalsRowFormula>SUM(Maart!P7:P19)</totalsRowFormula>
    </tableColumn>
    <tableColumn id="16" xr3:uid="{00000000-0010-0000-0200-000010000000}" name="15" totalsRowFunction="custom" dataDxfId="1299" totalsRowDxfId="1298">
      <totalsRowFormula>SUM(Maart!Q7:Q19)</totalsRowFormula>
    </tableColumn>
    <tableColumn id="17" xr3:uid="{00000000-0010-0000-0200-000011000000}" name="16" totalsRowFunction="custom" dataDxfId="1297" totalsRowDxfId="1296">
      <totalsRowFormula>SUM(Maart!R7:R19)</totalsRowFormula>
    </tableColumn>
    <tableColumn id="18" xr3:uid="{00000000-0010-0000-0200-000012000000}" name="17" totalsRowFunction="custom" dataDxfId="1295" totalsRowDxfId="1294">
      <totalsRowFormula>SUM(Maart!S7:S19)</totalsRowFormula>
    </tableColumn>
    <tableColumn id="19" xr3:uid="{00000000-0010-0000-0200-000013000000}" name="18" totalsRowFunction="custom" dataDxfId="1293" totalsRowDxfId="1292">
      <totalsRowFormula>SUM(Maart!T7:T19)</totalsRowFormula>
    </tableColumn>
    <tableColumn id="20" xr3:uid="{00000000-0010-0000-0200-000014000000}" name="19" totalsRowFunction="custom" dataDxfId="1291" totalsRowDxfId="1290">
      <totalsRowFormula>SUM(Maart!U7:U19)</totalsRowFormula>
    </tableColumn>
    <tableColumn id="21" xr3:uid="{00000000-0010-0000-0200-000015000000}" name="20" totalsRowFunction="custom" dataDxfId="1289" totalsRowDxfId="1288">
      <totalsRowFormula>SUM(Maart!V7:V19)</totalsRowFormula>
    </tableColumn>
    <tableColumn id="22" xr3:uid="{00000000-0010-0000-0200-000016000000}" name="21" totalsRowFunction="custom" dataDxfId="1287" totalsRowDxfId="1286">
      <totalsRowFormula>SUM(Maart!W7:W19)</totalsRowFormula>
    </tableColumn>
    <tableColumn id="23" xr3:uid="{00000000-0010-0000-0200-000017000000}" name="22" totalsRowFunction="custom" dataDxfId="1285" totalsRowDxfId="1284">
      <totalsRowFormula>SUM(Maart!X7:X19)</totalsRowFormula>
    </tableColumn>
    <tableColumn id="24" xr3:uid="{00000000-0010-0000-0200-000018000000}" name="23" totalsRowFunction="custom" dataDxfId="1283" totalsRowDxfId="1282">
      <totalsRowFormula>SUM(Maart!Y7:Y19)</totalsRowFormula>
    </tableColumn>
    <tableColumn id="25" xr3:uid="{00000000-0010-0000-0200-000019000000}" name="24" totalsRowFunction="custom" dataDxfId="1281" totalsRowDxfId="1280">
      <totalsRowFormula>SUM(Maart!Z7:Z19)</totalsRowFormula>
    </tableColumn>
    <tableColumn id="26" xr3:uid="{00000000-0010-0000-0200-00001A000000}" name="25" totalsRowFunction="custom" dataDxfId="1279" totalsRowDxfId="1278">
      <totalsRowFormula>SUM(Maart!AA7:AA19)</totalsRowFormula>
    </tableColumn>
    <tableColumn id="27" xr3:uid="{00000000-0010-0000-0200-00001B000000}" name="26" totalsRowFunction="custom" dataDxfId="1277" totalsRowDxfId="1276">
      <totalsRowFormula>SUM(Maart!AB7:AB19)</totalsRowFormula>
    </tableColumn>
    <tableColumn id="28" xr3:uid="{00000000-0010-0000-0200-00001C000000}" name="27" totalsRowFunction="custom" dataDxfId="1275" totalsRowDxfId="1274">
      <totalsRowFormula>SUM(Maart!AC7:AC19)</totalsRowFormula>
    </tableColumn>
    <tableColumn id="29" xr3:uid="{00000000-0010-0000-0200-00001D000000}" name="28" totalsRowFunction="custom" dataDxfId="1273" totalsRowDxfId="1272">
      <totalsRowFormula>SUM(Maart!AD7:AD19)</totalsRowFormula>
    </tableColumn>
    <tableColumn id="30" xr3:uid="{00000000-0010-0000-0200-00001E000000}" name="29" totalsRowFunction="custom" dataDxfId="1271" totalsRowDxfId="1270">
      <totalsRowFormula>SUM(Maart!AE7:AE19)</totalsRowFormula>
    </tableColumn>
    <tableColumn id="31" xr3:uid="{00000000-0010-0000-0200-00001F000000}" name="30" totalsRowFunction="custom" dataDxfId="1269" totalsRowDxfId="1268">
      <totalsRowFormula>SUM(Maart!AF7:AF19)</totalsRowFormula>
    </tableColumn>
    <tableColumn id="32" xr3:uid="{00000000-0010-0000-0200-000020000000}" name="31" totalsRowFunction="custom" dataDxfId="1267" totalsRowDxfId="1266">
      <totalsRowFormula>SUM(Maart!AG7:AG19)</totalsRowFormula>
    </tableColumn>
    <tableColumn id="33" xr3:uid="{00000000-0010-0000-0200-000021000000}" name="Totaal aantal uren" totalsRowFunction="custom" dataDxfId="1265" totalsRowDxfId="1264" dataCellStyle="Totaal">
      <calculatedColumnFormula>SUM(Maart[[#This Row],[1]:[31]])</calculatedColumnFormula>
      <totalsRowFormula>SUBTOTAL(109,Maart[Totaal aantal uren])</totalsRow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B6:AH19" totalsRowCount="1" headerRowDxfId="1263" dataDxfId="1262" totalsRowDxfId="1261">
  <tableColumns count="33">
    <tableColumn id="1" xr3:uid="{00000000-0010-0000-0300-000001000000}" name="Naam van werknemer" totalsRowFunction="custom" dataDxfId="1260" totalsRowDxfId="1259" dataCellStyle="Werknemer">
      <totalsRowFormula>MonthName&amp;" Totaal"</totalsRowFormula>
    </tableColumn>
    <tableColumn id="2" xr3:uid="{00000000-0010-0000-0300-000002000000}" name="1" totalsRowFunction="custom" dataDxfId="1258" totalsRowDxfId="1257">
      <totalsRowFormula>SUM(C7:C18)</totalsRowFormula>
    </tableColumn>
    <tableColumn id="3" xr3:uid="{00000000-0010-0000-0300-000003000000}" name="2" totalsRowFunction="custom" dataDxfId="1256" totalsRowDxfId="1255">
      <totalsRowFormula>SUM(D8:D18)</totalsRowFormula>
    </tableColumn>
    <tableColumn id="4" xr3:uid="{00000000-0010-0000-0300-000004000000}" name="3" totalsRowFunction="custom" dataDxfId="1254" totalsRowDxfId="1253">
      <totalsRowFormula>SUM(E7:E18)</totalsRowFormula>
    </tableColumn>
    <tableColumn id="5" xr3:uid="{00000000-0010-0000-0300-000005000000}" name="4" totalsRowFunction="custom" dataDxfId="1252" totalsRowDxfId="1251">
      <totalsRowFormula>SUM(F7:F18)</totalsRowFormula>
    </tableColumn>
    <tableColumn id="6" xr3:uid="{00000000-0010-0000-0300-000006000000}" name="5" totalsRowFunction="custom" dataDxfId="1250" totalsRowDxfId="1249">
      <totalsRowFormula>SUM(G7:G18)</totalsRowFormula>
    </tableColumn>
    <tableColumn id="7" xr3:uid="{00000000-0010-0000-0300-000007000000}" name="6" totalsRowFunction="custom" dataDxfId="1248" totalsRowDxfId="1247">
      <totalsRowFormula>SUM(H7:H18)</totalsRowFormula>
    </tableColumn>
    <tableColumn id="8" xr3:uid="{00000000-0010-0000-0300-000008000000}" name="7" totalsRowFunction="custom" dataDxfId="1246" totalsRowDxfId="1245">
      <totalsRowFormula>SUM(I7:I18)</totalsRowFormula>
    </tableColumn>
    <tableColumn id="9" xr3:uid="{00000000-0010-0000-0300-000009000000}" name="8" totalsRowFunction="custom" dataDxfId="1244" totalsRowDxfId="1243">
      <totalsRowFormula>SUM(J7:J18)</totalsRowFormula>
    </tableColumn>
    <tableColumn id="10" xr3:uid="{00000000-0010-0000-0300-00000A000000}" name="9" totalsRowFunction="custom" dataDxfId="1242" totalsRowDxfId="1241">
      <totalsRowFormula>SUM(K7:K18)</totalsRowFormula>
    </tableColumn>
    <tableColumn id="11" xr3:uid="{00000000-0010-0000-0300-00000B000000}" name="10" totalsRowFunction="custom" dataDxfId="1240" totalsRowDxfId="1239">
      <totalsRowFormula>SUM(L7:L18)</totalsRowFormula>
    </tableColumn>
    <tableColumn id="12" xr3:uid="{00000000-0010-0000-0300-00000C000000}" name="11" totalsRowFunction="custom" dataDxfId="1238" totalsRowDxfId="1237">
      <totalsRowFormula>SUM(M7:M18)</totalsRowFormula>
    </tableColumn>
    <tableColumn id="13" xr3:uid="{00000000-0010-0000-0300-00000D000000}" name="12" totalsRowFunction="custom" dataDxfId="1236" totalsRowDxfId="1235">
      <totalsRowFormula>SUM(N7:N18)</totalsRowFormula>
    </tableColumn>
    <tableColumn id="14" xr3:uid="{00000000-0010-0000-0300-00000E000000}" name="13" totalsRowFunction="custom" dataDxfId="1234" totalsRowDxfId="1233">
      <totalsRowFormula>SUM(O7:O18)</totalsRowFormula>
    </tableColumn>
    <tableColumn id="15" xr3:uid="{00000000-0010-0000-0300-00000F000000}" name="14" totalsRowFunction="custom" dataDxfId="1232" totalsRowDxfId="1231">
      <totalsRowFormula>SUM(P7:P18)</totalsRowFormula>
    </tableColumn>
    <tableColumn id="16" xr3:uid="{00000000-0010-0000-0300-000010000000}" name="15" totalsRowFunction="custom" dataDxfId="1230" totalsRowDxfId="1229">
      <totalsRowFormula>SUM(Q7:Q18)</totalsRowFormula>
    </tableColumn>
    <tableColumn id="17" xr3:uid="{00000000-0010-0000-0300-000011000000}" name="16" totalsRowFunction="custom" dataDxfId="1228" totalsRowDxfId="1227">
      <totalsRowFormula>SUM(R7:R18)</totalsRowFormula>
    </tableColumn>
    <tableColumn id="18" xr3:uid="{00000000-0010-0000-0300-000012000000}" name="17" totalsRowFunction="custom" dataDxfId="1226" totalsRowDxfId="1225">
      <totalsRowFormula>SUM(S7:S18)</totalsRowFormula>
    </tableColumn>
    <tableColumn id="19" xr3:uid="{00000000-0010-0000-0300-000013000000}" name="18" totalsRowFunction="custom" dataDxfId="1224" totalsRowDxfId="1223">
      <totalsRowFormula>SUM(T7:T18)</totalsRowFormula>
    </tableColumn>
    <tableColumn id="20" xr3:uid="{00000000-0010-0000-0300-000014000000}" name="19" totalsRowFunction="custom" dataDxfId="1222" totalsRowDxfId="1221">
      <totalsRowFormula>SUM(U7:U18)</totalsRowFormula>
    </tableColumn>
    <tableColumn id="21" xr3:uid="{00000000-0010-0000-0300-000015000000}" name="20" totalsRowFunction="custom" dataDxfId="1220" totalsRowDxfId="1219">
      <totalsRowFormula>SUM(V7:V18)</totalsRowFormula>
    </tableColumn>
    <tableColumn id="22" xr3:uid="{00000000-0010-0000-0300-000016000000}" name="21" totalsRowFunction="custom" dataDxfId="1218" totalsRowDxfId="1217">
      <totalsRowFormula>SUM(W7:W18)</totalsRowFormula>
    </tableColumn>
    <tableColumn id="23" xr3:uid="{00000000-0010-0000-0300-000017000000}" name="22" totalsRowFunction="custom" dataDxfId="1216" totalsRowDxfId="1215">
      <totalsRowFormula>SUM(X7:X18)</totalsRowFormula>
    </tableColumn>
    <tableColumn id="24" xr3:uid="{00000000-0010-0000-0300-000018000000}" name="23" totalsRowFunction="custom" dataDxfId="1214" totalsRowDxfId="1213">
      <totalsRowFormula>SUM(Y7:Y18)</totalsRowFormula>
    </tableColumn>
    <tableColumn id="25" xr3:uid="{00000000-0010-0000-0300-000019000000}" name="24" totalsRowFunction="custom" dataDxfId="1212" totalsRowDxfId="1211">
      <totalsRowFormula>SUM(Z7:Z18)</totalsRowFormula>
    </tableColumn>
    <tableColumn id="26" xr3:uid="{00000000-0010-0000-0300-00001A000000}" name="25" totalsRowFunction="custom" dataDxfId="1210" totalsRowDxfId="1209">
      <totalsRowFormula>SUM(AA7:AA18)</totalsRowFormula>
    </tableColumn>
    <tableColumn id="27" xr3:uid="{00000000-0010-0000-0300-00001B000000}" name="26" totalsRowFunction="custom" dataDxfId="1208" totalsRowDxfId="1207">
      <totalsRowFormula>SUM(AB7:AB18)</totalsRowFormula>
    </tableColumn>
    <tableColumn id="28" xr3:uid="{00000000-0010-0000-0300-00001C000000}" name="27" totalsRowFunction="custom" dataDxfId="1206" totalsRowDxfId="1205">
      <totalsRowFormula>SUM(AC7:AC18)</totalsRowFormula>
    </tableColumn>
    <tableColumn id="29" xr3:uid="{00000000-0010-0000-0300-00001D000000}" name="28" totalsRowFunction="custom" dataDxfId="1204" totalsRowDxfId="1203">
      <totalsRowFormula>SUM(AD7:AD18)</totalsRowFormula>
    </tableColumn>
    <tableColumn id="30" xr3:uid="{00000000-0010-0000-0300-00001E000000}" name="29" totalsRowFunction="custom" dataDxfId="1202" totalsRowDxfId="1201">
      <totalsRowFormula>SUM(AE7:AE18)</totalsRowFormula>
    </tableColumn>
    <tableColumn id="31" xr3:uid="{00000000-0010-0000-0300-00001F000000}" name="30" totalsRowFunction="custom" dataDxfId="1200" totalsRowDxfId="1199">
      <totalsRowFormula>SUM(AF7:AF18)</totalsRowFormula>
    </tableColumn>
    <tableColumn id="32" xr3:uid="{00000000-0010-0000-0300-000020000000}" name=" " totalsRowFunction="custom" dataDxfId="1198" totalsRowDxfId="1197">
      <totalsRowFormula>SUM(AG7:AG18)</totalsRowFormula>
    </tableColumn>
    <tableColumn id="33" xr3:uid="{00000000-0010-0000-0300-000021000000}" name="Totaal aantal uren" totalsRowFunction="sum" dataDxfId="1196" totalsRowDxfId="1195" dataCellStyle="Totaal">
      <calculatedColumnFormula>SUM(April[[#This Row],[1]:[ ]])</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Mei" displayName="Mei" ref="B6:AH18" totalsRowCount="1" headerRowDxfId="1194" dataDxfId="1193" totalsRowDxfId="1192">
  <tableColumns count="33">
    <tableColumn id="1" xr3:uid="{00000000-0010-0000-0400-000001000000}" name="Naam van werknemer" totalsRowFunction="custom" dataDxfId="1191" totalsRowDxfId="1190" dataCellStyle="Werknemer">
      <totalsRowFormula>MonthName&amp;" Totaal"</totalsRowFormula>
    </tableColumn>
    <tableColumn id="2" xr3:uid="{00000000-0010-0000-0400-000002000000}" name="1" totalsRowFunction="custom" dataDxfId="1189" totalsRowDxfId="1188">
      <totalsRowFormula>SUM(C7:C17)</totalsRowFormula>
    </tableColumn>
    <tableColumn id="3" xr3:uid="{00000000-0010-0000-0400-000003000000}" name="2" totalsRowFunction="custom" dataDxfId="1187" totalsRowDxfId="1186">
      <totalsRowFormula>SUM(D7:D17)</totalsRowFormula>
    </tableColumn>
    <tableColumn id="4" xr3:uid="{00000000-0010-0000-0400-000004000000}" name="3" totalsRowFunction="custom" dataDxfId="1185" totalsRowDxfId="1184">
      <totalsRowFormula>SUM(E7:E17)</totalsRowFormula>
    </tableColumn>
    <tableColumn id="5" xr3:uid="{00000000-0010-0000-0400-000005000000}" name="4" totalsRowFunction="custom" dataDxfId="1183" totalsRowDxfId="1182">
      <totalsRowFormula>SUM(F7:F17)</totalsRowFormula>
    </tableColumn>
    <tableColumn id="6" xr3:uid="{00000000-0010-0000-0400-000006000000}" name="5" totalsRowFunction="custom" dataDxfId="1181" totalsRowDxfId="1180">
      <totalsRowFormula>SUM(G7:G17)</totalsRowFormula>
    </tableColumn>
    <tableColumn id="7" xr3:uid="{00000000-0010-0000-0400-000007000000}" name="6" totalsRowFunction="custom" dataDxfId="1179" totalsRowDxfId="1178">
      <totalsRowFormula>SUM(H7:H17)</totalsRowFormula>
    </tableColumn>
    <tableColumn id="8" xr3:uid="{00000000-0010-0000-0400-000008000000}" name="7" totalsRowFunction="custom" dataDxfId="1177" totalsRowDxfId="1176">
      <totalsRowFormula>SUM(I7:I17)</totalsRowFormula>
    </tableColumn>
    <tableColumn id="9" xr3:uid="{00000000-0010-0000-0400-000009000000}" name="8" totalsRowFunction="custom" dataDxfId="1175" totalsRowDxfId="1174">
      <totalsRowFormula>SUM(J7:J17)</totalsRowFormula>
    </tableColumn>
    <tableColumn id="10" xr3:uid="{00000000-0010-0000-0400-00000A000000}" name="9" totalsRowFunction="custom" dataDxfId="1173" totalsRowDxfId="1172">
      <totalsRowFormula>SUM(K7:K17)</totalsRowFormula>
    </tableColumn>
    <tableColumn id="11" xr3:uid="{00000000-0010-0000-0400-00000B000000}" name="10" totalsRowFunction="custom" dataDxfId="1171" totalsRowDxfId="1170">
      <totalsRowFormula>SUM(L7:L17)</totalsRowFormula>
    </tableColumn>
    <tableColumn id="12" xr3:uid="{00000000-0010-0000-0400-00000C000000}" name="11" totalsRowFunction="custom" dataDxfId="1169" totalsRowDxfId="1168">
      <totalsRowFormula>SUM(M7:M17)</totalsRowFormula>
    </tableColumn>
    <tableColumn id="13" xr3:uid="{00000000-0010-0000-0400-00000D000000}" name="12" totalsRowFunction="custom" dataDxfId="1167" totalsRowDxfId="1166">
      <totalsRowFormula>SUM(N7:N17)</totalsRowFormula>
    </tableColumn>
    <tableColumn id="14" xr3:uid="{00000000-0010-0000-0400-00000E000000}" name="13" totalsRowFunction="custom" dataDxfId="1165" totalsRowDxfId="1164">
      <totalsRowFormula>SUM(O7:O17)</totalsRowFormula>
    </tableColumn>
    <tableColumn id="15" xr3:uid="{00000000-0010-0000-0400-00000F000000}" name="14" totalsRowFunction="custom" dataDxfId="1163" totalsRowDxfId="1162">
      <totalsRowFormula>SUM(P7:P17)</totalsRowFormula>
    </tableColumn>
    <tableColumn id="16" xr3:uid="{00000000-0010-0000-0400-000010000000}" name="15" totalsRowFunction="custom" dataDxfId="1161" totalsRowDxfId="1160">
      <totalsRowFormula>SUM(Q7:Q17)</totalsRowFormula>
    </tableColumn>
    <tableColumn id="17" xr3:uid="{00000000-0010-0000-0400-000011000000}" name="16" totalsRowFunction="custom" dataDxfId="1159" totalsRowDxfId="1158">
      <totalsRowFormula>SUM(R7:R17)</totalsRowFormula>
    </tableColumn>
    <tableColumn id="18" xr3:uid="{00000000-0010-0000-0400-000012000000}" name="17" totalsRowFunction="custom" dataDxfId="1157" totalsRowDxfId="1156">
      <totalsRowFormula>SUM(S7:S17)</totalsRowFormula>
    </tableColumn>
    <tableColumn id="19" xr3:uid="{00000000-0010-0000-0400-000013000000}" name="18" totalsRowFunction="custom" dataDxfId="1155" totalsRowDxfId="1154">
      <totalsRowFormula>SUM(T7:T17)</totalsRowFormula>
    </tableColumn>
    <tableColumn id="20" xr3:uid="{00000000-0010-0000-0400-000014000000}" name="19" totalsRowFunction="custom" dataDxfId="1153" totalsRowDxfId="1152">
      <totalsRowFormula>SUM(U7:U17)</totalsRowFormula>
    </tableColumn>
    <tableColumn id="21" xr3:uid="{00000000-0010-0000-0400-000015000000}" name="20" totalsRowFunction="custom" dataDxfId="1151" totalsRowDxfId="1150">
      <totalsRowFormula>SUM(V7:V17)</totalsRowFormula>
    </tableColumn>
    <tableColumn id="22" xr3:uid="{00000000-0010-0000-0400-000016000000}" name="21" totalsRowFunction="custom" dataDxfId="1149" totalsRowDxfId="1148">
      <totalsRowFormula>SUM(W7:W17)</totalsRowFormula>
    </tableColumn>
    <tableColumn id="23" xr3:uid="{00000000-0010-0000-0400-000017000000}" name="22" totalsRowFunction="custom" dataDxfId="1147" totalsRowDxfId="1146">
      <totalsRowFormula>SUM(X7:X17)</totalsRowFormula>
    </tableColumn>
    <tableColumn id="24" xr3:uid="{00000000-0010-0000-0400-000018000000}" name="23" totalsRowFunction="custom" dataDxfId="1145" totalsRowDxfId="1144">
      <totalsRowFormula>SUM(Y7:Y17)</totalsRowFormula>
    </tableColumn>
    <tableColumn id="25" xr3:uid="{00000000-0010-0000-0400-000019000000}" name="24" totalsRowFunction="custom" dataDxfId="1143" totalsRowDxfId="1142">
      <totalsRowFormula>SUM(Z7:Z17)</totalsRowFormula>
    </tableColumn>
    <tableColumn id="26" xr3:uid="{00000000-0010-0000-0400-00001A000000}" name="25" totalsRowFunction="custom" dataDxfId="1141" totalsRowDxfId="1140">
      <totalsRowFormula>SUM(AA7:AA17)</totalsRowFormula>
    </tableColumn>
    <tableColumn id="27" xr3:uid="{00000000-0010-0000-0400-00001B000000}" name="26" totalsRowFunction="custom" dataDxfId="1139" totalsRowDxfId="1138">
      <totalsRowFormula>SUM(AB7:AB17)</totalsRowFormula>
    </tableColumn>
    <tableColumn id="28" xr3:uid="{00000000-0010-0000-0400-00001C000000}" name="27" totalsRowFunction="custom" dataDxfId="1137" totalsRowDxfId="1136">
      <totalsRowFormula>SUM(AC7:AC17)</totalsRowFormula>
    </tableColumn>
    <tableColumn id="29" xr3:uid="{00000000-0010-0000-0400-00001D000000}" name="28" totalsRowFunction="custom" dataDxfId="1135" totalsRowDxfId="1134">
      <totalsRowFormula>SUM(AD7:AD17)</totalsRowFormula>
    </tableColumn>
    <tableColumn id="30" xr3:uid="{00000000-0010-0000-0400-00001E000000}" name="29" totalsRowFunction="custom" dataDxfId="1133" totalsRowDxfId="1132">
      <totalsRowFormula>SUM(AE7:AE17)</totalsRowFormula>
    </tableColumn>
    <tableColumn id="31" xr3:uid="{00000000-0010-0000-0400-00001F000000}" name="30" totalsRowFunction="custom" dataDxfId="1131" totalsRowDxfId="1130">
      <totalsRowFormula>SUM(AF7:AF17)</totalsRowFormula>
    </tableColumn>
    <tableColumn id="32" xr3:uid="{00000000-0010-0000-0400-000020000000}" name="31" totalsRowFunction="custom" dataDxfId="1129" totalsRowDxfId="1128">
      <totalsRowFormula>SUM(AG7:AG17)</totalsRowFormula>
    </tableColumn>
    <tableColumn id="33" xr3:uid="{00000000-0010-0000-0400-000021000000}" name="Totaal aantal uren" totalsRowFunction="sum" dataDxfId="1127" totalsRowDxfId="1126" dataCellStyle="Totaal">
      <calculatedColumnFormula>SUM(Mei[[#This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i" displayName="Juni" ref="B6:AH17" totalsRowCount="1" headerRowDxfId="1125" dataDxfId="1124" totalsRowDxfId="1123">
  <tableColumns count="33">
    <tableColumn id="1" xr3:uid="{00000000-0010-0000-0500-000001000000}" name="Naam van werknemer" totalsRowFunction="custom" dataDxfId="1122" totalsRowDxfId="1121" dataCellStyle="Werknemer">
      <totalsRowFormula>MonthName&amp;" Totaal"</totalsRowFormula>
    </tableColumn>
    <tableColumn id="2" xr3:uid="{00000000-0010-0000-0500-000002000000}" name="1" totalsRowFunction="custom" dataDxfId="1120" totalsRowDxfId="1119">
      <totalsRowFormula>SUM(Juni[1])</totalsRowFormula>
    </tableColumn>
    <tableColumn id="3" xr3:uid="{00000000-0010-0000-0500-000003000000}" name="2" totalsRowFunction="custom" dataDxfId="1118" totalsRowDxfId="1117">
      <totalsRowFormula>SUM(Juni[2])</totalsRowFormula>
    </tableColumn>
    <tableColumn id="4" xr3:uid="{00000000-0010-0000-0500-000004000000}" name="3" totalsRowFunction="custom" dataDxfId="1116" totalsRowDxfId="1115">
      <totalsRowFormula>SUM(Juni[3])</totalsRowFormula>
    </tableColumn>
    <tableColumn id="5" xr3:uid="{00000000-0010-0000-0500-000005000000}" name="4" totalsRowFunction="custom" dataDxfId="1114" totalsRowDxfId="1113">
      <totalsRowFormula>SUM(Juni[4])</totalsRowFormula>
    </tableColumn>
    <tableColumn id="6" xr3:uid="{00000000-0010-0000-0500-000006000000}" name="5" totalsRowFunction="custom" dataDxfId="1112" totalsRowDxfId="1111">
      <totalsRowFormula>SUM(Juni[5])</totalsRowFormula>
    </tableColumn>
    <tableColumn id="7" xr3:uid="{00000000-0010-0000-0500-000007000000}" name="6" totalsRowFunction="custom" dataDxfId="1110" totalsRowDxfId="1109">
      <totalsRowFormula>SUM(Juni[6])</totalsRowFormula>
    </tableColumn>
    <tableColumn id="8" xr3:uid="{00000000-0010-0000-0500-000008000000}" name="7" totalsRowFunction="custom" dataDxfId="1108" totalsRowDxfId="1107">
      <totalsRowFormula>SUM(Juni[7])</totalsRowFormula>
    </tableColumn>
    <tableColumn id="9" xr3:uid="{00000000-0010-0000-0500-000009000000}" name="8" totalsRowFunction="custom" dataDxfId="1106" totalsRowDxfId="1105">
      <totalsRowFormula>SUM(Juni[8])</totalsRowFormula>
    </tableColumn>
    <tableColumn id="10" xr3:uid="{00000000-0010-0000-0500-00000A000000}" name="9" totalsRowFunction="custom" dataDxfId="1104" totalsRowDxfId="1103">
      <totalsRowFormula>SUM(Juni[9])</totalsRowFormula>
    </tableColumn>
    <tableColumn id="11" xr3:uid="{00000000-0010-0000-0500-00000B000000}" name="10" totalsRowFunction="custom" dataDxfId="1102" totalsRowDxfId="1101">
      <totalsRowFormula>SUM(Juni[10])</totalsRowFormula>
    </tableColumn>
    <tableColumn id="12" xr3:uid="{00000000-0010-0000-0500-00000C000000}" name="11" totalsRowFunction="custom" dataDxfId="1100" totalsRowDxfId="1099">
      <totalsRowFormula>SUM(Juni[11])</totalsRowFormula>
    </tableColumn>
    <tableColumn id="13" xr3:uid="{00000000-0010-0000-0500-00000D000000}" name="12" totalsRowFunction="custom" dataDxfId="1098" totalsRowDxfId="1097">
      <totalsRowFormula>SUM(Juni[12])</totalsRowFormula>
    </tableColumn>
    <tableColumn id="14" xr3:uid="{00000000-0010-0000-0500-00000E000000}" name="13" totalsRowFunction="custom" dataDxfId="1096" totalsRowDxfId="1095">
      <totalsRowFormula>SUM(Juni[13])</totalsRowFormula>
    </tableColumn>
    <tableColumn id="15" xr3:uid="{00000000-0010-0000-0500-00000F000000}" name="14" totalsRowFunction="custom" dataDxfId="1094" totalsRowDxfId="1093">
      <totalsRowFormula>SUM(Juni[14])</totalsRowFormula>
    </tableColumn>
    <tableColumn id="16" xr3:uid="{00000000-0010-0000-0500-000010000000}" name="15" totalsRowFunction="custom" dataDxfId="1092" totalsRowDxfId="1091">
      <totalsRowFormula>SUM(Juni[15])</totalsRowFormula>
    </tableColumn>
    <tableColumn id="17" xr3:uid="{00000000-0010-0000-0500-000011000000}" name="16" totalsRowFunction="custom" dataDxfId="1090" totalsRowDxfId="1089">
      <totalsRowFormula>SUM(Juni[16])</totalsRowFormula>
    </tableColumn>
    <tableColumn id="18" xr3:uid="{00000000-0010-0000-0500-000012000000}" name="17" totalsRowFunction="custom" dataDxfId="1088" totalsRowDxfId="1087">
      <totalsRowFormula>SUM(Juni[17])</totalsRowFormula>
    </tableColumn>
    <tableColumn id="19" xr3:uid="{00000000-0010-0000-0500-000013000000}" name="18" totalsRowFunction="custom" dataDxfId="1086" totalsRowDxfId="1085">
      <totalsRowFormula>SUM(Juni[18])</totalsRowFormula>
    </tableColumn>
    <tableColumn id="20" xr3:uid="{00000000-0010-0000-0500-000014000000}" name="19" totalsRowFunction="custom" dataDxfId="1084" totalsRowDxfId="1083">
      <totalsRowFormula>SUM(Juni[19])</totalsRowFormula>
    </tableColumn>
    <tableColumn id="21" xr3:uid="{00000000-0010-0000-0500-000015000000}" name="20" totalsRowFunction="custom" dataDxfId="1082" totalsRowDxfId="1081">
      <totalsRowFormula>SUM(Juni[20])</totalsRowFormula>
    </tableColumn>
    <tableColumn id="22" xr3:uid="{00000000-0010-0000-0500-000016000000}" name="21" totalsRowFunction="custom" dataDxfId="1080" totalsRowDxfId="1079">
      <totalsRowFormula>SUM(Juni[21])</totalsRowFormula>
    </tableColumn>
    <tableColumn id="23" xr3:uid="{00000000-0010-0000-0500-000017000000}" name="22" totalsRowFunction="custom" dataDxfId="1078" totalsRowDxfId="1077">
      <totalsRowFormula>SUM(Juni[22])</totalsRowFormula>
    </tableColumn>
    <tableColumn id="24" xr3:uid="{00000000-0010-0000-0500-000018000000}" name="23" totalsRowFunction="custom" dataDxfId="1076" totalsRowDxfId="1075">
      <totalsRowFormula>SUM(Juni[23])</totalsRowFormula>
    </tableColumn>
    <tableColumn id="25" xr3:uid="{00000000-0010-0000-0500-000019000000}" name="24" totalsRowFunction="custom" dataDxfId="1074" totalsRowDxfId="1073">
      <totalsRowFormula>SUM(Juni[24])</totalsRowFormula>
    </tableColumn>
    <tableColumn id="26" xr3:uid="{00000000-0010-0000-0500-00001A000000}" name="25" totalsRowFunction="custom" dataDxfId="1072" totalsRowDxfId="1071">
      <totalsRowFormula>SUM(Juni[25])</totalsRowFormula>
    </tableColumn>
    <tableColumn id="27" xr3:uid="{00000000-0010-0000-0500-00001B000000}" name="26" totalsRowFunction="custom" dataDxfId="1070" totalsRowDxfId="1069">
      <totalsRowFormula>SUM(Juni[26])</totalsRowFormula>
    </tableColumn>
    <tableColumn id="28" xr3:uid="{00000000-0010-0000-0500-00001C000000}" name="27" totalsRowFunction="custom" dataDxfId="1068" totalsRowDxfId="1067">
      <totalsRowFormula>SUM(Juni[27])</totalsRowFormula>
    </tableColumn>
    <tableColumn id="29" xr3:uid="{00000000-0010-0000-0500-00001D000000}" name="28" totalsRowFunction="custom" dataDxfId="1066" totalsRowDxfId="1065">
      <totalsRowFormula>SUM(Juni[28])</totalsRowFormula>
    </tableColumn>
    <tableColumn id="30" xr3:uid="{00000000-0010-0000-0500-00001E000000}" name="29" totalsRowFunction="custom" dataDxfId="1064" totalsRowDxfId="1063">
      <totalsRowFormula>SUM(Juni[29])</totalsRowFormula>
    </tableColumn>
    <tableColumn id="31" xr3:uid="{00000000-0010-0000-0500-00001F000000}" name="30" totalsRowFunction="custom" dataDxfId="1062" totalsRowDxfId="1061">
      <totalsRowFormula>SUM(Juni[30])</totalsRowFormula>
    </tableColumn>
    <tableColumn id="32" xr3:uid="{00000000-0010-0000-0500-000020000000}" name=" " totalsRowFunction="custom" dataDxfId="1060" totalsRowDxfId="1059">
      <totalsRowFormula>SUM(Juni[[ ]])</totalsRowFormula>
    </tableColumn>
    <tableColumn id="33" xr3:uid="{00000000-0010-0000-0500-000021000000}" name="Totaal aantal uren" totalsRowFunction="sum" dataDxfId="1058" totalsRowDxfId="1057" dataCellStyle="Totaal">
      <calculatedColumnFormula>SUM(Juni[[#This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i" displayName="Juli" ref="B6:AH14" totalsRowCount="1" headerRowDxfId="1056" dataDxfId="1055" totalsRowDxfId="1054">
  <tableColumns count="33">
    <tableColumn id="1" xr3:uid="{00000000-0010-0000-0600-000001000000}" name="Naam van werknemer" totalsRowFunction="custom" dataDxfId="1053" totalsRowDxfId="1052" dataCellStyle="Werknemer">
      <totalsRowFormula>MonthName&amp;" Totaal"</totalsRowFormula>
    </tableColumn>
    <tableColumn id="2" xr3:uid="{00000000-0010-0000-0600-000002000000}" name="1" totalsRowFunction="custom" dataDxfId="1051" totalsRowDxfId="1050">
      <totalsRowFormula>SUM(Juli[1])</totalsRowFormula>
    </tableColumn>
    <tableColumn id="3" xr3:uid="{00000000-0010-0000-0600-000003000000}" name="2" totalsRowFunction="custom" dataDxfId="1049" totalsRowDxfId="1048">
      <totalsRowFormula>SUM(Juli[2])</totalsRowFormula>
    </tableColumn>
    <tableColumn id="4" xr3:uid="{00000000-0010-0000-0600-000004000000}" name="3" totalsRowFunction="custom" dataDxfId="1047" totalsRowDxfId="1046">
      <totalsRowFormula>SUM(Juli[3])</totalsRowFormula>
    </tableColumn>
    <tableColumn id="5" xr3:uid="{00000000-0010-0000-0600-000005000000}" name="4" totalsRowFunction="custom" dataDxfId="1045" totalsRowDxfId="1044">
      <totalsRowFormula>SUM(Juli[4])</totalsRowFormula>
    </tableColumn>
    <tableColumn id="6" xr3:uid="{00000000-0010-0000-0600-000006000000}" name="5" totalsRowFunction="custom" dataDxfId="1043" totalsRowDxfId="1042">
      <totalsRowFormula>SUM(Juli[5])</totalsRowFormula>
    </tableColumn>
    <tableColumn id="7" xr3:uid="{00000000-0010-0000-0600-000007000000}" name="6" totalsRowFunction="custom" dataDxfId="1041" totalsRowDxfId="1040">
      <totalsRowFormula>SUM(Juli[6])</totalsRowFormula>
    </tableColumn>
    <tableColumn id="8" xr3:uid="{00000000-0010-0000-0600-000008000000}" name="7" totalsRowFunction="custom" dataDxfId="1039" totalsRowDxfId="1038">
      <totalsRowFormula>SUM(Juli[7])</totalsRowFormula>
    </tableColumn>
    <tableColumn id="9" xr3:uid="{00000000-0010-0000-0600-000009000000}" name="8" totalsRowFunction="custom" dataDxfId="1037" totalsRowDxfId="1036">
      <totalsRowFormula>SUM(Juli[8])</totalsRowFormula>
    </tableColumn>
    <tableColumn id="10" xr3:uid="{00000000-0010-0000-0600-00000A000000}" name="9" totalsRowFunction="custom" dataDxfId="1035" totalsRowDxfId="1034">
      <totalsRowFormula>SUM(Juli[9])</totalsRowFormula>
    </tableColumn>
    <tableColumn id="11" xr3:uid="{00000000-0010-0000-0600-00000B000000}" name="10" totalsRowFunction="custom" dataDxfId="1033" totalsRowDxfId="1032">
      <totalsRowFormula>SUM(Juli[10])</totalsRowFormula>
    </tableColumn>
    <tableColumn id="12" xr3:uid="{00000000-0010-0000-0600-00000C000000}" name="11" totalsRowFunction="custom" dataDxfId="1031" totalsRowDxfId="1030">
      <totalsRowFormula>SUM(Juli[11])</totalsRowFormula>
    </tableColumn>
    <tableColumn id="13" xr3:uid="{00000000-0010-0000-0600-00000D000000}" name="12" totalsRowFunction="custom" dataDxfId="1029" totalsRowDxfId="1028">
      <totalsRowFormula>SUM(Juli[12])</totalsRowFormula>
    </tableColumn>
    <tableColumn id="14" xr3:uid="{00000000-0010-0000-0600-00000E000000}" name="13" totalsRowFunction="custom" dataDxfId="1027" totalsRowDxfId="1026">
      <totalsRowFormula>SUM(Juli[13])</totalsRowFormula>
    </tableColumn>
    <tableColumn id="15" xr3:uid="{00000000-0010-0000-0600-00000F000000}" name="14" totalsRowFunction="custom" dataDxfId="1025" totalsRowDxfId="1024">
      <totalsRowFormula>SUM(Juli[14])</totalsRowFormula>
    </tableColumn>
    <tableColumn id="16" xr3:uid="{00000000-0010-0000-0600-000010000000}" name="15" totalsRowFunction="custom" dataDxfId="1023" totalsRowDxfId="1022">
      <totalsRowFormula>SUM(Juli[15])</totalsRowFormula>
    </tableColumn>
    <tableColumn id="17" xr3:uid="{00000000-0010-0000-0600-000011000000}" name="16" totalsRowFunction="custom" dataDxfId="1021" totalsRowDxfId="1020">
      <totalsRowFormula>SUM(Juli[16])</totalsRowFormula>
    </tableColumn>
    <tableColumn id="18" xr3:uid="{00000000-0010-0000-0600-000012000000}" name="17" totalsRowFunction="custom" dataDxfId="1019" totalsRowDxfId="1018">
      <totalsRowFormula>SUM(Juli[17])</totalsRowFormula>
    </tableColumn>
    <tableColumn id="19" xr3:uid="{00000000-0010-0000-0600-000013000000}" name="18" totalsRowFunction="custom" dataDxfId="1017" totalsRowDxfId="1016">
      <totalsRowFormula>SUM(Juli[18])</totalsRowFormula>
    </tableColumn>
    <tableColumn id="20" xr3:uid="{00000000-0010-0000-0600-000014000000}" name="19" totalsRowFunction="custom" dataDxfId="1015" totalsRowDxfId="1014">
      <totalsRowFormula>SUM(Juli[19])</totalsRowFormula>
    </tableColumn>
    <tableColumn id="21" xr3:uid="{00000000-0010-0000-0600-000015000000}" name="20" totalsRowFunction="custom" dataDxfId="1013" totalsRowDxfId="1012">
      <totalsRowFormula>SUM(Juli[20])</totalsRowFormula>
    </tableColumn>
    <tableColumn id="22" xr3:uid="{00000000-0010-0000-0600-000016000000}" name="21" totalsRowFunction="custom" dataDxfId="1011" totalsRowDxfId="1010">
      <totalsRowFormula>SUM(Juli[21])</totalsRowFormula>
    </tableColumn>
    <tableColumn id="23" xr3:uid="{00000000-0010-0000-0600-000017000000}" name="22" totalsRowFunction="custom" dataDxfId="1009" totalsRowDxfId="1008">
      <totalsRowFormula>SUM(Juli[22])</totalsRowFormula>
    </tableColumn>
    <tableColumn id="24" xr3:uid="{00000000-0010-0000-0600-000018000000}" name="23" totalsRowFunction="custom" dataDxfId="1007" totalsRowDxfId="1006">
      <totalsRowFormula>SUM(Juli[23])</totalsRowFormula>
    </tableColumn>
    <tableColumn id="25" xr3:uid="{00000000-0010-0000-0600-000019000000}" name="24" totalsRowFunction="custom" dataDxfId="1005" totalsRowDxfId="1004">
      <totalsRowFormula>SUM(Juli[24])</totalsRowFormula>
    </tableColumn>
    <tableColumn id="26" xr3:uid="{00000000-0010-0000-0600-00001A000000}" name="25" totalsRowFunction="custom" dataDxfId="1003" totalsRowDxfId="1002">
      <totalsRowFormula>SUM(Juli[25])</totalsRowFormula>
    </tableColumn>
    <tableColumn id="27" xr3:uid="{00000000-0010-0000-0600-00001B000000}" name="26" totalsRowFunction="custom" dataDxfId="1001" totalsRowDxfId="1000">
      <totalsRowFormula>SUM(Juli[26])</totalsRowFormula>
    </tableColumn>
    <tableColumn id="28" xr3:uid="{00000000-0010-0000-0600-00001C000000}" name="27" totalsRowFunction="custom" dataDxfId="999" totalsRowDxfId="998">
      <totalsRowFormula>SUM(Juli[27])</totalsRowFormula>
    </tableColumn>
    <tableColumn id="29" xr3:uid="{00000000-0010-0000-0600-00001D000000}" name="28" totalsRowFunction="custom" dataDxfId="997" totalsRowDxfId="996">
      <totalsRowFormula>SUM(Juli[28])</totalsRowFormula>
    </tableColumn>
    <tableColumn id="30" xr3:uid="{00000000-0010-0000-0600-00001E000000}" name="29" totalsRowFunction="custom" dataDxfId="995" totalsRowDxfId="994">
      <totalsRowFormula>SUM(Juli[29])</totalsRowFormula>
    </tableColumn>
    <tableColumn id="31" xr3:uid="{00000000-0010-0000-0600-00001F000000}" name="30" totalsRowFunction="custom" dataDxfId="993" totalsRowDxfId="992">
      <totalsRowFormula>SUM(Juli[30])</totalsRowFormula>
    </tableColumn>
    <tableColumn id="32" xr3:uid="{00000000-0010-0000-0600-000020000000}" name="31" totalsRowFunction="custom" dataDxfId="991" totalsRowDxfId="990">
      <totalsRowFormula>SUM(Juli[31])</totalsRowFormula>
    </tableColumn>
    <tableColumn id="33" xr3:uid="{00000000-0010-0000-0600-000021000000}" name="Totaal aantal uren" totalsRowFunction="sum" dataDxfId="989" totalsRowDxfId="988" dataCellStyle="Totaal">
      <calculatedColumnFormula>SUM(Juli[[#This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us" displayName="Augustus" ref="B6:AH14" totalsRowCount="1" headerRowDxfId="987" dataDxfId="986" totalsRowDxfId="985">
  <tableColumns count="33">
    <tableColumn id="1" xr3:uid="{00000000-0010-0000-0700-000001000000}" name="Naam van werknemer" totalsRowFunction="custom" dataDxfId="984" totalsRowDxfId="983" dataCellStyle="Werknemer">
      <totalsRowFormula>MonthName&amp;" Totaal"</totalsRowFormula>
    </tableColumn>
    <tableColumn id="2" xr3:uid="{00000000-0010-0000-0700-000002000000}" name="1" totalsRowFunction="custom" dataDxfId="982" totalsRowDxfId="981">
      <totalsRowFormula>SUM(Augustus[1])</totalsRowFormula>
    </tableColumn>
    <tableColumn id="3" xr3:uid="{00000000-0010-0000-0700-000003000000}" name="2" totalsRowFunction="custom" dataDxfId="980" totalsRowDxfId="979">
      <totalsRowFormula>SUM(Augustus[2])</totalsRowFormula>
    </tableColumn>
    <tableColumn id="4" xr3:uid="{00000000-0010-0000-0700-000004000000}" name="3" totalsRowFunction="custom" dataDxfId="978" totalsRowDxfId="977">
      <totalsRowFormula>SUM(Augustus[3])</totalsRowFormula>
    </tableColumn>
    <tableColumn id="5" xr3:uid="{00000000-0010-0000-0700-000005000000}" name="4" totalsRowFunction="custom" dataDxfId="976" totalsRowDxfId="975">
      <totalsRowFormula>SUM(Augustus[4])</totalsRowFormula>
    </tableColumn>
    <tableColumn id="6" xr3:uid="{00000000-0010-0000-0700-000006000000}" name="5" totalsRowFunction="custom" dataDxfId="974" totalsRowDxfId="973">
      <totalsRowFormula>SUM(Augustus[5])</totalsRowFormula>
    </tableColumn>
    <tableColumn id="7" xr3:uid="{00000000-0010-0000-0700-000007000000}" name="6" totalsRowFunction="custom" dataDxfId="972" totalsRowDxfId="971">
      <totalsRowFormula>SUM(Augustus[6])</totalsRowFormula>
    </tableColumn>
    <tableColumn id="8" xr3:uid="{00000000-0010-0000-0700-000008000000}" name="7" totalsRowFunction="custom" dataDxfId="970" totalsRowDxfId="969">
      <totalsRowFormula>SUM(Augustus[7])</totalsRowFormula>
    </tableColumn>
    <tableColumn id="9" xr3:uid="{00000000-0010-0000-0700-000009000000}" name="8" totalsRowFunction="custom" dataDxfId="968" totalsRowDxfId="967">
      <totalsRowFormula>SUM(Augustus[8])</totalsRowFormula>
    </tableColumn>
    <tableColumn id="10" xr3:uid="{00000000-0010-0000-0700-00000A000000}" name="9" totalsRowFunction="custom" dataDxfId="966" totalsRowDxfId="965">
      <totalsRowFormula>SUM(Augustus[9])</totalsRowFormula>
    </tableColumn>
    <tableColumn id="11" xr3:uid="{00000000-0010-0000-0700-00000B000000}" name="10" totalsRowFunction="custom" dataDxfId="964" totalsRowDxfId="963">
      <totalsRowFormula>SUM(Augustus[10])</totalsRowFormula>
    </tableColumn>
    <tableColumn id="12" xr3:uid="{00000000-0010-0000-0700-00000C000000}" name="11" totalsRowFunction="custom" dataDxfId="962" totalsRowDxfId="961">
      <totalsRowFormula>SUM(Augustus[11])</totalsRowFormula>
    </tableColumn>
    <tableColumn id="13" xr3:uid="{00000000-0010-0000-0700-00000D000000}" name="12" totalsRowFunction="custom" dataDxfId="960" totalsRowDxfId="959">
      <totalsRowFormula>SUM(Augustus[12])</totalsRowFormula>
    </tableColumn>
    <tableColumn id="14" xr3:uid="{00000000-0010-0000-0700-00000E000000}" name="13" totalsRowFunction="custom" dataDxfId="958" totalsRowDxfId="957">
      <totalsRowFormula>SUM(Augustus[13])</totalsRowFormula>
    </tableColumn>
    <tableColumn id="15" xr3:uid="{00000000-0010-0000-0700-00000F000000}" name="14" totalsRowFunction="custom" dataDxfId="956" totalsRowDxfId="955">
      <totalsRowFormula>SUM(Augustus[14])</totalsRowFormula>
    </tableColumn>
    <tableColumn id="16" xr3:uid="{00000000-0010-0000-0700-000010000000}" name="15" totalsRowFunction="custom" dataDxfId="954" totalsRowDxfId="953">
      <totalsRowFormula>SUM(Augustus[15])</totalsRowFormula>
    </tableColumn>
    <tableColumn id="17" xr3:uid="{00000000-0010-0000-0700-000011000000}" name="16" totalsRowFunction="custom" dataDxfId="952" totalsRowDxfId="951">
      <totalsRowFormula>SUM(Augustus[16])</totalsRowFormula>
    </tableColumn>
    <tableColumn id="18" xr3:uid="{00000000-0010-0000-0700-000012000000}" name="17" totalsRowFunction="custom" dataDxfId="950" totalsRowDxfId="949">
      <totalsRowFormula>SUM(Augustus[17])</totalsRowFormula>
    </tableColumn>
    <tableColumn id="19" xr3:uid="{00000000-0010-0000-0700-000013000000}" name="18" totalsRowFunction="custom" dataDxfId="948" totalsRowDxfId="947">
      <totalsRowFormula>SUM(Augustus[18])</totalsRowFormula>
    </tableColumn>
    <tableColumn id="20" xr3:uid="{00000000-0010-0000-0700-000014000000}" name="19" totalsRowFunction="custom" dataDxfId="946" totalsRowDxfId="945">
      <totalsRowFormula>SUM(Augustus[19])</totalsRowFormula>
    </tableColumn>
    <tableColumn id="21" xr3:uid="{00000000-0010-0000-0700-000015000000}" name="20" totalsRowFunction="custom" dataDxfId="944" totalsRowDxfId="943">
      <totalsRowFormula>SUM(Augustus[20])</totalsRowFormula>
    </tableColumn>
    <tableColumn id="22" xr3:uid="{00000000-0010-0000-0700-000016000000}" name="21" totalsRowFunction="custom" dataDxfId="942" totalsRowDxfId="941">
      <totalsRowFormula>SUM(Augustus[21])</totalsRowFormula>
    </tableColumn>
    <tableColumn id="23" xr3:uid="{00000000-0010-0000-0700-000017000000}" name="22" totalsRowFunction="custom" dataDxfId="940" totalsRowDxfId="939">
      <totalsRowFormula>SUM(Augustus[22])</totalsRowFormula>
    </tableColumn>
    <tableColumn id="24" xr3:uid="{00000000-0010-0000-0700-000018000000}" name="23" totalsRowFunction="custom" dataDxfId="938" totalsRowDxfId="937">
      <totalsRowFormula>SUM(Augustus[23])</totalsRowFormula>
    </tableColumn>
    <tableColumn id="25" xr3:uid="{00000000-0010-0000-0700-000019000000}" name="24" totalsRowFunction="custom" dataDxfId="936" totalsRowDxfId="935">
      <totalsRowFormula>SUM(Augustus[24])</totalsRowFormula>
    </tableColumn>
    <tableColumn id="26" xr3:uid="{00000000-0010-0000-0700-00001A000000}" name="25" totalsRowFunction="custom" dataDxfId="934" totalsRowDxfId="933">
      <totalsRowFormula>SUM(Augustus[25])</totalsRowFormula>
    </tableColumn>
    <tableColumn id="27" xr3:uid="{00000000-0010-0000-0700-00001B000000}" name="26" totalsRowFunction="custom" dataDxfId="932" totalsRowDxfId="931">
      <totalsRowFormula>SUM(Augustus[26])</totalsRowFormula>
    </tableColumn>
    <tableColumn id="28" xr3:uid="{00000000-0010-0000-0700-00001C000000}" name="27" totalsRowFunction="custom" dataDxfId="930" totalsRowDxfId="929">
      <totalsRowFormula>SUM(Augustus[27])</totalsRowFormula>
    </tableColumn>
    <tableColumn id="29" xr3:uid="{00000000-0010-0000-0700-00001D000000}" name="28" totalsRowFunction="custom" dataDxfId="928" totalsRowDxfId="927">
      <totalsRowFormula>SUM(Augustus[28])</totalsRowFormula>
    </tableColumn>
    <tableColumn id="30" xr3:uid="{00000000-0010-0000-0700-00001E000000}" name="29" totalsRowFunction="custom" dataDxfId="926" totalsRowDxfId="925">
      <totalsRowFormula>SUM(Augustus[29])</totalsRowFormula>
    </tableColumn>
    <tableColumn id="31" xr3:uid="{00000000-0010-0000-0700-00001F000000}" name="30" totalsRowFunction="custom" dataDxfId="924" totalsRowDxfId="923">
      <totalsRowFormula>SUM(Augustus[30])</totalsRowFormula>
    </tableColumn>
    <tableColumn id="32" xr3:uid="{00000000-0010-0000-0700-000020000000}" name="31" totalsRowFunction="custom" dataDxfId="922" totalsRowDxfId="921">
      <totalsRowFormula>SUM(Augustus[31])</totalsRowFormula>
    </tableColumn>
    <tableColumn id="33" xr3:uid="{00000000-0010-0000-0700-000021000000}" name="Totaal aantal uren" totalsRowFunction="sum" dataDxfId="920" totalsRowDxfId="919" dataCellStyle="Totaal">
      <calculatedColumnFormula>SUM(Augustus[[#This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6:AH16" totalsRowCount="1" headerRowDxfId="918" dataDxfId="917" totalsRowDxfId="916">
  <tableColumns count="33">
    <tableColumn id="1" xr3:uid="{00000000-0010-0000-0800-000001000000}" name="Naam van werknemer" totalsRowFunction="custom" dataDxfId="915" totalsRowDxfId="914" dataCellStyle="Werknemer">
      <totalsRowFormula>MonthName&amp;" Totaal"</totalsRowFormula>
    </tableColumn>
    <tableColumn id="2" xr3:uid="{00000000-0010-0000-0800-000002000000}" name="1" totalsRowFunction="custom" dataDxfId="913" totalsRowDxfId="912">
      <totalsRowFormula>SUM(September[1])</totalsRowFormula>
    </tableColumn>
    <tableColumn id="3" xr3:uid="{00000000-0010-0000-0800-000003000000}" name="2" totalsRowFunction="custom" dataDxfId="911" totalsRowDxfId="910">
      <totalsRowFormula>SUM(September[2])</totalsRowFormula>
    </tableColumn>
    <tableColumn id="4" xr3:uid="{00000000-0010-0000-0800-000004000000}" name="3" totalsRowFunction="custom" dataDxfId="909" totalsRowDxfId="908">
      <totalsRowFormula>SUM(September[3])</totalsRowFormula>
    </tableColumn>
    <tableColumn id="5" xr3:uid="{00000000-0010-0000-0800-000005000000}" name="4" totalsRowFunction="custom" dataDxfId="907" totalsRowDxfId="906">
      <totalsRowFormula>SUM(September[4])</totalsRowFormula>
    </tableColumn>
    <tableColumn id="6" xr3:uid="{00000000-0010-0000-0800-000006000000}" name="5" totalsRowFunction="custom" dataDxfId="905" totalsRowDxfId="904">
      <totalsRowFormula>SUM(September[5])</totalsRowFormula>
    </tableColumn>
    <tableColumn id="7" xr3:uid="{00000000-0010-0000-0800-000007000000}" name="6" totalsRowFunction="custom" dataDxfId="903" totalsRowDxfId="902">
      <totalsRowFormula>SUM(September[6])</totalsRowFormula>
    </tableColumn>
    <tableColumn id="8" xr3:uid="{00000000-0010-0000-0800-000008000000}" name="7" totalsRowFunction="custom" dataDxfId="901" totalsRowDxfId="900">
      <totalsRowFormula>SUM(September[7])</totalsRowFormula>
    </tableColumn>
    <tableColumn id="9" xr3:uid="{00000000-0010-0000-0800-000009000000}" name="8" totalsRowFunction="custom" dataDxfId="899" totalsRowDxfId="898">
      <totalsRowFormula>SUM(September[8])</totalsRowFormula>
    </tableColumn>
    <tableColumn id="10" xr3:uid="{00000000-0010-0000-0800-00000A000000}" name="9" totalsRowFunction="custom" dataDxfId="897" totalsRowDxfId="896">
      <totalsRowFormula>SUM(September[9])</totalsRowFormula>
    </tableColumn>
    <tableColumn id="11" xr3:uid="{00000000-0010-0000-0800-00000B000000}" name="10" totalsRowFunction="custom" dataDxfId="895" totalsRowDxfId="894">
      <totalsRowFormula>SUM(September[10])</totalsRowFormula>
    </tableColumn>
    <tableColumn id="12" xr3:uid="{00000000-0010-0000-0800-00000C000000}" name="11" totalsRowFunction="custom" dataDxfId="893" totalsRowDxfId="892">
      <totalsRowFormula>SUM(September[11])</totalsRowFormula>
    </tableColumn>
    <tableColumn id="13" xr3:uid="{00000000-0010-0000-0800-00000D000000}" name="12" totalsRowFunction="custom" dataDxfId="891" totalsRowDxfId="890">
      <totalsRowFormula>SUM(September[12])</totalsRowFormula>
    </tableColumn>
    <tableColumn id="14" xr3:uid="{00000000-0010-0000-0800-00000E000000}" name="13" totalsRowFunction="custom" dataDxfId="889" totalsRowDxfId="888">
      <totalsRowFormula>SUM(September[13])</totalsRowFormula>
    </tableColumn>
    <tableColumn id="15" xr3:uid="{00000000-0010-0000-0800-00000F000000}" name="14" totalsRowFunction="custom" dataDxfId="887" totalsRowDxfId="886">
      <totalsRowFormula>SUM(September[14])</totalsRowFormula>
    </tableColumn>
    <tableColumn id="16" xr3:uid="{00000000-0010-0000-0800-000010000000}" name="15" totalsRowFunction="custom" dataDxfId="885" totalsRowDxfId="884">
      <totalsRowFormula>SUM(September[15])</totalsRowFormula>
    </tableColumn>
    <tableColumn id="17" xr3:uid="{00000000-0010-0000-0800-000011000000}" name="16" totalsRowFunction="custom" dataDxfId="883" totalsRowDxfId="882">
      <totalsRowFormula>SUM(September[16])</totalsRowFormula>
    </tableColumn>
    <tableColumn id="18" xr3:uid="{00000000-0010-0000-0800-000012000000}" name="17" totalsRowFunction="custom" dataDxfId="881" totalsRowDxfId="880">
      <totalsRowFormula>SUM(September[17])</totalsRowFormula>
    </tableColumn>
    <tableColumn id="19" xr3:uid="{00000000-0010-0000-0800-000013000000}" name="18" totalsRowFunction="custom" dataDxfId="879" totalsRowDxfId="878">
      <totalsRowFormula>SUM(September[18])</totalsRowFormula>
    </tableColumn>
    <tableColumn id="20" xr3:uid="{00000000-0010-0000-0800-000014000000}" name="19" totalsRowFunction="custom" dataDxfId="877" totalsRowDxfId="876">
      <totalsRowFormula>SUM(September[19])</totalsRowFormula>
    </tableColumn>
    <tableColumn id="21" xr3:uid="{00000000-0010-0000-0800-000015000000}" name="20" totalsRowFunction="custom" dataDxfId="875" totalsRowDxfId="874">
      <totalsRowFormula>SUM(September[20])</totalsRowFormula>
    </tableColumn>
    <tableColumn id="22" xr3:uid="{00000000-0010-0000-0800-000016000000}" name="21" totalsRowFunction="custom" dataDxfId="873" totalsRowDxfId="872">
      <totalsRowFormula>SUM(September[21])</totalsRowFormula>
    </tableColumn>
    <tableColumn id="23" xr3:uid="{00000000-0010-0000-0800-000017000000}" name="22" totalsRowFunction="custom" dataDxfId="871" totalsRowDxfId="870">
      <totalsRowFormula>SUM(September[22])</totalsRowFormula>
    </tableColumn>
    <tableColumn id="24" xr3:uid="{00000000-0010-0000-0800-000018000000}" name="23" totalsRowFunction="custom" dataDxfId="869" totalsRowDxfId="868">
      <totalsRowFormula>SUM(September[23])</totalsRowFormula>
    </tableColumn>
    <tableColumn id="25" xr3:uid="{00000000-0010-0000-0800-000019000000}" name="24" totalsRowFunction="custom" dataDxfId="867" totalsRowDxfId="866">
      <totalsRowFormula>SUM(September[24])</totalsRowFormula>
    </tableColumn>
    <tableColumn id="26" xr3:uid="{00000000-0010-0000-0800-00001A000000}" name="25" totalsRowFunction="custom" dataDxfId="865" totalsRowDxfId="864">
      <totalsRowFormula>SUM(September[25])</totalsRowFormula>
    </tableColumn>
    <tableColumn id="27" xr3:uid="{00000000-0010-0000-0800-00001B000000}" name="26" totalsRowFunction="custom" dataDxfId="863" totalsRowDxfId="862">
      <totalsRowFormula>SUM(September[26])</totalsRowFormula>
    </tableColumn>
    <tableColumn id="28" xr3:uid="{00000000-0010-0000-0800-00001C000000}" name="27" totalsRowFunction="custom" dataDxfId="861" totalsRowDxfId="860">
      <totalsRowFormula>SUM(September[27])</totalsRowFormula>
    </tableColumn>
    <tableColumn id="29" xr3:uid="{00000000-0010-0000-0800-00001D000000}" name="28" totalsRowFunction="custom" dataDxfId="859" totalsRowDxfId="858">
      <totalsRowFormula>SUM(September[28])</totalsRowFormula>
    </tableColumn>
    <tableColumn id="30" xr3:uid="{00000000-0010-0000-0800-00001E000000}" name="29" totalsRowFunction="custom" dataDxfId="857" totalsRowDxfId="856">
      <totalsRowFormula>SUM(September[29])</totalsRowFormula>
    </tableColumn>
    <tableColumn id="31" xr3:uid="{00000000-0010-0000-0800-00001F000000}" name="30" totalsRowFunction="custom" dataDxfId="855" totalsRowDxfId="854">
      <totalsRowFormula>SUM(September[30])</totalsRowFormula>
    </tableColumn>
    <tableColumn id="32" xr3:uid="{00000000-0010-0000-0800-000020000000}" name=" " totalsRowFunction="custom" dataDxfId="853" totalsRowDxfId="852">
      <totalsRowFormula>SUM(September[[ ]])</totalsRowFormula>
    </tableColumn>
    <tableColumn id="33" xr3:uid="{00000000-0010-0000-0800-000021000000}" name="Totaal aantal uren" totalsRowFunction="sum" dataDxfId="851" totalsRowDxfId="850" dataCellStyle="Totaal">
      <calculatedColumnFormula>SUM(September[[#This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ktober" displayName="Oktober" ref="B6:AH18" totalsRowCount="1" headerRowDxfId="849" dataDxfId="848" totalsRowDxfId="847">
  <tableColumns count="33">
    <tableColumn id="1" xr3:uid="{00000000-0010-0000-0900-000001000000}" name="Naam van werknemer" totalsRowFunction="custom" dataDxfId="846" totalsRowDxfId="845" dataCellStyle="Werknemer">
      <totalsRowFormula>MonthName&amp;" Totaal"</totalsRowFormula>
    </tableColumn>
    <tableColumn id="2" xr3:uid="{00000000-0010-0000-0900-000002000000}" name="1" totalsRowFunction="custom" dataDxfId="844" totalsRowDxfId="843">
      <totalsRowFormula>SUM(Oktober[1])</totalsRowFormula>
    </tableColumn>
    <tableColumn id="3" xr3:uid="{00000000-0010-0000-0900-000003000000}" name="2" totalsRowFunction="custom" dataDxfId="842" totalsRowDxfId="841">
      <totalsRowFormula>SUM(Oktober[2])</totalsRowFormula>
    </tableColumn>
    <tableColumn id="4" xr3:uid="{00000000-0010-0000-0900-000004000000}" name="3" totalsRowFunction="custom" dataDxfId="840" totalsRowDxfId="839">
      <totalsRowFormula>SUM(Oktober[3])</totalsRowFormula>
    </tableColumn>
    <tableColumn id="5" xr3:uid="{00000000-0010-0000-0900-000005000000}" name="4" totalsRowFunction="custom" dataDxfId="838" totalsRowDxfId="837">
      <totalsRowFormula>SUM(Oktober[4])</totalsRowFormula>
    </tableColumn>
    <tableColumn id="6" xr3:uid="{00000000-0010-0000-0900-000006000000}" name="5" totalsRowFunction="custom" dataDxfId="836" totalsRowDxfId="835">
      <totalsRowFormula>SUM(Oktober[5])</totalsRowFormula>
    </tableColumn>
    <tableColumn id="7" xr3:uid="{00000000-0010-0000-0900-000007000000}" name="6" totalsRowFunction="custom" dataDxfId="834" totalsRowDxfId="833">
      <totalsRowFormula>SUM(Oktober[6])</totalsRowFormula>
    </tableColumn>
    <tableColumn id="8" xr3:uid="{00000000-0010-0000-0900-000008000000}" name="7" totalsRowFunction="custom" dataDxfId="832" totalsRowDxfId="831">
      <totalsRowFormula>SUM(Oktober[7])</totalsRowFormula>
    </tableColumn>
    <tableColumn id="9" xr3:uid="{00000000-0010-0000-0900-000009000000}" name="8" totalsRowFunction="custom" dataDxfId="830" totalsRowDxfId="829">
      <totalsRowFormula>SUM(Oktober[8])</totalsRowFormula>
    </tableColumn>
    <tableColumn id="10" xr3:uid="{00000000-0010-0000-0900-00000A000000}" name="9" totalsRowFunction="custom" dataDxfId="828" totalsRowDxfId="827">
      <totalsRowFormula>SUM(Oktober[9])</totalsRowFormula>
    </tableColumn>
    <tableColumn id="11" xr3:uid="{00000000-0010-0000-0900-00000B000000}" name="10" totalsRowFunction="custom" dataDxfId="826" totalsRowDxfId="825">
      <totalsRowFormula>SUM(Oktober[10])</totalsRowFormula>
    </tableColumn>
    <tableColumn id="12" xr3:uid="{00000000-0010-0000-0900-00000C000000}" name="11" totalsRowFunction="custom" dataDxfId="824" totalsRowDxfId="823">
      <totalsRowFormula>SUM(Oktober[11])</totalsRowFormula>
    </tableColumn>
    <tableColumn id="13" xr3:uid="{00000000-0010-0000-0900-00000D000000}" name="12" totalsRowFunction="custom" dataDxfId="822" totalsRowDxfId="821">
      <totalsRowFormula>SUM(Oktober[12])</totalsRowFormula>
    </tableColumn>
    <tableColumn id="14" xr3:uid="{00000000-0010-0000-0900-00000E000000}" name="13" totalsRowFunction="custom" dataDxfId="820" totalsRowDxfId="819">
      <totalsRowFormula>SUM(Oktober[13])</totalsRowFormula>
    </tableColumn>
    <tableColumn id="15" xr3:uid="{00000000-0010-0000-0900-00000F000000}" name="14" totalsRowFunction="custom" dataDxfId="818" totalsRowDxfId="817">
      <totalsRowFormula>SUM(Oktober[14])</totalsRowFormula>
    </tableColumn>
    <tableColumn id="16" xr3:uid="{00000000-0010-0000-0900-000010000000}" name="15" totalsRowFunction="custom" dataDxfId="816" totalsRowDxfId="815">
      <totalsRowFormula>SUM(Oktober[15])</totalsRowFormula>
    </tableColumn>
    <tableColumn id="17" xr3:uid="{00000000-0010-0000-0900-000011000000}" name="16" totalsRowFunction="custom" dataDxfId="814" totalsRowDxfId="813">
      <totalsRowFormula>SUM(Oktober[16])</totalsRowFormula>
    </tableColumn>
    <tableColumn id="18" xr3:uid="{00000000-0010-0000-0900-000012000000}" name="17" totalsRowFunction="custom" dataDxfId="812" totalsRowDxfId="811">
      <totalsRowFormula>SUM(Oktober[17])</totalsRowFormula>
    </tableColumn>
    <tableColumn id="19" xr3:uid="{00000000-0010-0000-0900-000013000000}" name="18" totalsRowFunction="custom" dataDxfId="810" totalsRowDxfId="809">
      <totalsRowFormula>SUM(Oktober[18])</totalsRowFormula>
    </tableColumn>
    <tableColumn id="20" xr3:uid="{00000000-0010-0000-0900-000014000000}" name="19" totalsRowFunction="custom" dataDxfId="808" totalsRowDxfId="807">
      <totalsRowFormula>SUM(Oktober[19])</totalsRowFormula>
    </tableColumn>
    <tableColumn id="21" xr3:uid="{00000000-0010-0000-0900-000015000000}" name="20" totalsRowFunction="custom" dataDxfId="806" totalsRowDxfId="805">
      <totalsRowFormula>SUM(Oktober[20])</totalsRowFormula>
    </tableColumn>
    <tableColumn id="22" xr3:uid="{00000000-0010-0000-0900-000016000000}" name="21" totalsRowFunction="custom" dataDxfId="804" totalsRowDxfId="803">
      <totalsRowFormula>SUM(Oktober[21])</totalsRowFormula>
    </tableColumn>
    <tableColumn id="23" xr3:uid="{00000000-0010-0000-0900-000017000000}" name="22" totalsRowFunction="custom" dataDxfId="802" totalsRowDxfId="801">
      <totalsRowFormula>SUM(Oktober[22])</totalsRowFormula>
    </tableColumn>
    <tableColumn id="24" xr3:uid="{00000000-0010-0000-0900-000018000000}" name="23" totalsRowFunction="custom" dataDxfId="800" totalsRowDxfId="799">
      <totalsRowFormula>SUM(Oktober[23])</totalsRowFormula>
    </tableColumn>
    <tableColumn id="25" xr3:uid="{00000000-0010-0000-0900-000019000000}" name="24" totalsRowFunction="custom" dataDxfId="798" totalsRowDxfId="797">
      <totalsRowFormula>SUM(Oktober[24])</totalsRowFormula>
    </tableColumn>
    <tableColumn id="26" xr3:uid="{00000000-0010-0000-0900-00001A000000}" name="25" totalsRowFunction="custom" dataDxfId="796" totalsRowDxfId="795">
      <totalsRowFormula>SUM(Oktober[25])</totalsRowFormula>
    </tableColumn>
    <tableColumn id="27" xr3:uid="{00000000-0010-0000-0900-00001B000000}" name="26" totalsRowFunction="custom" dataDxfId="794" totalsRowDxfId="793">
      <totalsRowFormula>SUM(Oktober[26])</totalsRowFormula>
    </tableColumn>
    <tableColumn id="28" xr3:uid="{00000000-0010-0000-0900-00001C000000}" name="27" totalsRowFunction="custom" dataDxfId="792" totalsRowDxfId="791">
      <totalsRowFormula>SUM(Oktober[27])</totalsRowFormula>
    </tableColumn>
    <tableColumn id="29" xr3:uid="{00000000-0010-0000-0900-00001D000000}" name="28" totalsRowFunction="custom" dataDxfId="790" totalsRowDxfId="789">
      <totalsRowFormula>SUM(Oktober[28])</totalsRowFormula>
    </tableColumn>
    <tableColumn id="30" xr3:uid="{00000000-0010-0000-0900-00001E000000}" name="29" totalsRowFunction="custom" dataDxfId="788" totalsRowDxfId="787">
      <totalsRowFormula>SUM(Oktober[29])</totalsRowFormula>
    </tableColumn>
    <tableColumn id="31" xr3:uid="{00000000-0010-0000-0900-00001F000000}" name="30" totalsRowFunction="custom" dataDxfId="786" totalsRowDxfId="785">
      <totalsRowFormula>SUM(Oktober[30])</totalsRowFormula>
    </tableColumn>
    <tableColumn id="32" xr3:uid="{00000000-0010-0000-0900-000020000000}" name="31" totalsRowFunction="custom" dataDxfId="784" totalsRowDxfId="783">
      <totalsRowFormula>SUM(Oktober[31])</totalsRowFormula>
    </tableColumn>
    <tableColumn id="33" xr3:uid="{00000000-0010-0000-0900-000021000000}" name="Totaal aantal uren" totalsRowFunction="custom" dataDxfId="782" totalsRowDxfId="781" dataCellStyle="Totaal">
      <calculatedColumnFormula>SUM(Oktober[[#This Row],[1]:[31]])</calculatedColumnFormula>
      <totalsRowFormula>SUM(Oktober[[#Totals],[1]:[31]])</totalsRow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B6:AH17" totalsRowCount="1" headerRowDxfId="780" dataDxfId="779" totalsRowDxfId="778">
  <tableColumns count="33">
    <tableColumn id="1" xr3:uid="{00000000-0010-0000-0A00-000001000000}" name="Naam van werknemer" totalsRowFunction="custom" dataDxfId="777" totalsRowDxfId="776" dataCellStyle="Werknemer">
      <totalsRowFormula>MonthName&amp;" Totaal"</totalsRowFormula>
    </tableColumn>
    <tableColumn id="2" xr3:uid="{00000000-0010-0000-0A00-000002000000}" name="1" totalsRowFunction="custom" dataDxfId="775" totalsRowDxfId="774">
      <totalsRowFormula>SUM(November[1])</totalsRowFormula>
    </tableColumn>
    <tableColumn id="3" xr3:uid="{00000000-0010-0000-0A00-000003000000}" name="2" totalsRowFunction="custom" dataDxfId="773" totalsRowDxfId="772">
      <totalsRowFormula>SUM(November[2])</totalsRowFormula>
    </tableColumn>
    <tableColumn id="4" xr3:uid="{00000000-0010-0000-0A00-000004000000}" name="3" totalsRowFunction="custom" dataDxfId="771" totalsRowDxfId="770">
      <totalsRowFormula>SUM(November[3])</totalsRowFormula>
    </tableColumn>
    <tableColumn id="5" xr3:uid="{00000000-0010-0000-0A00-000005000000}" name="4" totalsRowFunction="custom" dataDxfId="769" totalsRowDxfId="768">
      <totalsRowFormula>SUM(November[4])</totalsRowFormula>
    </tableColumn>
    <tableColumn id="6" xr3:uid="{00000000-0010-0000-0A00-000006000000}" name="5" totalsRowFunction="custom" dataDxfId="767" totalsRowDxfId="766">
      <totalsRowFormula>SUM(November[5])</totalsRowFormula>
    </tableColumn>
    <tableColumn id="7" xr3:uid="{00000000-0010-0000-0A00-000007000000}" name="6" totalsRowFunction="custom" dataDxfId="765" totalsRowDxfId="764">
      <totalsRowFormula>SUM(November[6])</totalsRowFormula>
    </tableColumn>
    <tableColumn id="8" xr3:uid="{00000000-0010-0000-0A00-000008000000}" name="7" totalsRowFunction="custom" dataDxfId="763" totalsRowDxfId="762">
      <totalsRowFormula>SUM(November[7])</totalsRowFormula>
    </tableColumn>
    <tableColumn id="9" xr3:uid="{00000000-0010-0000-0A00-000009000000}" name="8" totalsRowFunction="custom" dataDxfId="761" totalsRowDxfId="760">
      <totalsRowFormula>SUM(November[8])</totalsRowFormula>
    </tableColumn>
    <tableColumn id="10" xr3:uid="{00000000-0010-0000-0A00-00000A000000}" name="9" totalsRowFunction="custom" dataDxfId="759" totalsRowDxfId="758">
      <totalsRowFormula>SUM(November[9])</totalsRowFormula>
    </tableColumn>
    <tableColumn id="11" xr3:uid="{00000000-0010-0000-0A00-00000B000000}" name="10" totalsRowFunction="custom" dataDxfId="757" totalsRowDxfId="756">
      <totalsRowFormula>SUM(November[10])</totalsRowFormula>
    </tableColumn>
    <tableColumn id="12" xr3:uid="{00000000-0010-0000-0A00-00000C000000}" name="11" totalsRowFunction="custom" dataDxfId="755" totalsRowDxfId="754">
      <totalsRowFormula>SUM(November[11])</totalsRowFormula>
    </tableColumn>
    <tableColumn id="13" xr3:uid="{00000000-0010-0000-0A00-00000D000000}" name="12" totalsRowFunction="custom" dataDxfId="753" totalsRowDxfId="752">
      <totalsRowFormula>SUM(November[12])</totalsRowFormula>
    </tableColumn>
    <tableColumn id="14" xr3:uid="{00000000-0010-0000-0A00-00000E000000}" name="13" totalsRowFunction="custom" dataDxfId="751" totalsRowDxfId="750">
      <totalsRowFormula>SUM(November[13])</totalsRowFormula>
    </tableColumn>
    <tableColumn id="15" xr3:uid="{00000000-0010-0000-0A00-00000F000000}" name="14" totalsRowFunction="custom" dataDxfId="749" totalsRowDxfId="748">
      <totalsRowFormula>SUM(November[14])</totalsRowFormula>
    </tableColumn>
    <tableColumn id="16" xr3:uid="{00000000-0010-0000-0A00-000010000000}" name="15" totalsRowFunction="custom" dataDxfId="747" totalsRowDxfId="746">
      <totalsRowFormula>SUM(November[15])</totalsRowFormula>
    </tableColumn>
    <tableColumn id="17" xr3:uid="{00000000-0010-0000-0A00-000011000000}" name="16" totalsRowFunction="custom" dataDxfId="745" totalsRowDxfId="744">
      <totalsRowFormula>SUM(November[16])</totalsRowFormula>
    </tableColumn>
    <tableColumn id="18" xr3:uid="{00000000-0010-0000-0A00-000012000000}" name="17" totalsRowFunction="custom" dataDxfId="743" totalsRowDxfId="742">
      <totalsRowFormula>SUM(November[17])</totalsRowFormula>
    </tableColumn>
    <tableColumn id="19" xr3:uid="{00000000-0010-0000-0A00-000013000000}" name="18" totalsRowFunction="custom" dataDxfId="741" totalsRowDxfId="740">
      <totalsRowFormula>SUM(November[18])</totalsRowFormula>
    </tableColumn>
    <tableColumn id="20" xr3:uid="{00000000-0010-0000-0A00-000014000000}" name="19" totalsRowFunction="custom" dataDxfId="739" totalsRowDxfId="738">
      <totalsRowFormula>SUM(November[19])</totalsRowFormula>
    </tableColumn>
    <tableColumn id="21" xr3:uid="{00000000-0010-0000-0A00-000015000000}" name="20" totalsRowFunction="custom" dataDxfId="737" totalsRowDxfId="736">
      <totalsRowFormula>SUM(November[20])</totalsRowFormula>
    </tableColumn>
    <tableColumn id="22" xr3:uid="{00000000-0010-0000-0A00-000016000000}" name="21" totalsRowFunction="custom" dataDxfId="735" totalsRowDxfId="734">
      <totalsRowFormula>SUM(November[21])</totalsRowFormula>
    </tableColumn>
    <tableColumn id="23" xr3:uid="{00000000-0010-0000-0A00-000017000000}" name="22" totalsRowFunction="custom" dataDxfId="733" totalsRowDxfId="732">
      <totalsRowFormula>SUM(November[22])</totalsRowFormula>
    </tableColumn>
    <tableColumn id="24" xr3:uid="{00000000-0010-0000-0A00-000018000000}" name="23" totalsRowFunction="custom" dataDxfId="731" totalsRowDxfId="730">
      <totalsRowFormula>SUM(November[23])</totalsRowFormula>
    </tableColumn>
    <tableColumn id="25" xr3:uid="{00000000-0010-0000-0A00-000019000000}" name="24" totalsRowFunction="custom" dataDxfId="729" totalsRowDxfId="728">
      <totalsRowFormula>SUM(November[24])</totalsRowFormula>
    </tableColumn>
    <tableColumn id="26" xr3:uid="{00000000-0010-0000-0A00-00001A000000}" name="25" totalsRowFunction="custom" dataDxfId="727" totalsRowDxfId="726">
      <totalsRowFormula>SUM(November[25])</totalsRowFormula>
    </tableColumn>
    <tableColumn id="27" xr3:uid="{00000000-0010-0000-0A00-00001B000000}" name="26" totalsRowFunction="custom" dataDxfId="725" totalsRowDxfId="724">
      <totalsRowFormula>SUM(November[26])</totalsRowFormula>
    </tableColumn>
    <tableColumn id="28" xr3:uid="{00000000-0010-0000-0A00-00001C000000}" name="27" totalsRowFunction="custom" dataDxfId="723" totalsRowDxfId="722">
      <totalsRowFormula>SUM(November[27])</totalsRowFormula>
    </tableColumn>
    <tableColumn id="29" xr3:uid="{00000000-0010-0000-0A00-00001D000000}" name="28" totalsRowFunction="custom" dataDxfId="721" totalsRowDxfId="720">
      <totalsRowFormula>SUM(November[28])</totalsRowFormula>
    </tableColumn>
    <tableColumn id="30" xr3:uid="{00000000-0010-0000-0A00-00001E000000}" name="29" totalsRowFunction="custom" dataDxfId="719" totalsRowDxfId="718">
      <totalsRowFormula>SUM(November[29])</totalsRowFormula>
    </tableColumn>
    <tableColumn id="31" xr3:uid="{00000000-0010-0000-0A00-00001F000000}" name="30" totalsRowFunction="custom" dataDxfId="717" totalsRowDxfId="716">
      <totalsRowFormula>SUM(November[30])</totalsRowFormula>
    </tableColumn>
    <tableColumn id="32" xr3:uid="{00000000-0010-0000-0A00-000020000000}" name=" " totalsRowFunction="custom" dataDxfId="715" totalsRowDxfId="714">
      <totalsRowFormula>SUM(November[[ ]])</totalsRowFormula>
    </tableColumn>
    <tableColumn id="33" xr3:uid="{00000000-0010-0000-0A00-000021000000}" name="Totaal aantal uren" totalsRowFunction="sum" dataDxfId="713" totalsRowDxfId="712" dataCellStyle="Totaal">
      <calculatedColumnFormula>SUM(November[[#This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6:AH17" totalsRowCount="1" headerRowDxfId="711" dataDxfId="710" totalsRowDxfId="709">
  <tableColumns count="33">
    <tableColumn id="1" xr3:uid="{00000000-0010-0000-0B00-000001000000}" name="Naam van werknemer" totalsRowFunction="custom" dataDxfId="708" totalsRowDxfId="32" dataCellStyle="Werknemer">
      <totalsRowFormula>MonthName&amp;" Totaal"</totalsRowFormula>
    </tableColumn>
    <tableColumn id="2" xr3:uid="{00000000-0010-0000-0B00-000002000000}" name="1" totalsRowFunction="custom" dataDxfId="707" totalsRowDxfId="31">
      <totalsRowFormula>SUM(December[1])</totalsRowFormula>
    </tableColumn>
    <tableColumn id="3" xr3:uid="{00000000-0010-0000-0B00-000003000000}" name="2" totalsRowFunction="custom" dataDxfId="706" totalsRowDxfId="30">
      <totalsRowFormula>SUM(December[2])</totalsRowFormula>
    </tableColumn>
    <tableColumn id="4" xr3:uid="{00000000-0010-0000-0B00-000004000000}" name="3" totalsRowFunction="custom" dataDxfId="705" totalsRowDxfId="29">
      <totalsRowFormula>SUM(December[3])</totalsRowFormula>
    </tableColumn>
    <tableColumn id="5" xr3:uid="{00000000-0010-0000-0B00-000005000000}" name="4" totalsRowFunction="custom" dataDxfId="704" totalsRowDxfId="28">
      <totalsRowFormula>SUM(December[4])</totalsRowFormula>
    </tableColumn>
    <tableColumn id="6" xr3:uid="{00000000-0010-0000-0B00-000006000000}" name="5" totalsRowFunction="custom" dataDxfId="703" totalsRowDxfId="27">
      <totalsRowFormula>SUM(December[5])</totalsRowFormula>
    </tableColumn>
    <tableColumn id="7" xr3:uid="{00000000-0010-0000-0B00-000007000000}" name="6" totalsRowFunction="custom" dataDxfId="702" totalsRowDxfId="26">
      <totalsRowFormula>SUM(December[6])</totalsRowFormula>
    </tableColumn>
    <tableColumn id="8" xr3:uid="{00000000-0010-0000-0B00-000008000000}" name="7" totalsRowFunction="custom" dataDxfId="701" totalsRowDxfId="25">
      <totalsRowFormula>SUM(December[7])</totalsRowFormula>
    </tableColumn>
    <tableColumn id="9" xr3:uid="{00000000-0010-0000-0B00-000009000000}" name="8" totalsRowFunction="custom" dataDxfId="700" totalsRowDxfId="24">
      <totalsRowFormula>SUM(December[8])</totalsRowFormula>
    </tableColumn>
    <tableColumn id="10" xr3:uid="{00000000-0010-0000-0B00-00000A000000}" name="9" totalsRowFunction="custom" dataDxfId="699" totalsRowDxfId="23">
      <totalsRowFormula>SUM(December[9])</totalsRowFormula>
    </tableColumn>
    <tableColumn id="11" xr3:uid="{00000000-0010-0000-0B00-00000B000000}" name="10" totalsRowFunction="custom" dataDxfId="698" totalsRowDxfId="22">
      <totalsRowFormula>SUM(December[10])</totalsRowFormula>
    </tableColumn>
    <tableColumn id="12" xr3:uid="{00000000-0010-0000-0B00-00000C000000}" name="11" totalsRowFunction="custom" dataDxfId="697" totalsRowDxfId="21">
      <totalsRowFormula>SUM(December[11])</totalsRowFormula>
    </tableColumn>
    <tableColumn id="13" xr3:uid="{00000000-0010-0000-0B00-00000D000000}" name="12" totalsRowFunction="custom" dataDxfId="696" totalsRowDxfId="20">
      <totalsRowFormula>SUM(December[12])</totalsRowFormula>
    </tableColumn>
    <tableColumn id="14" xr3:uid="{00000000-0010-0000-0B00-00000E000000}" name="13" totalsRowFunction="custom" dataDxfId="695" totalsRowDxfId="19">
      <totalsRowFormula>SUM(December[13])</totalsRowFormula>
    </tableColumn>
    <tableColumn id="15" xr3:uid="{00000000-0010-0000-0B00-00000F000000}" name="14" totalsRowFunction="custom" dataDxfId="694" totalsRowDxfId="18">
      <totalsRowFormula>SUM(December[14])</totalsRowFormula>
    </tableColumn>
    <tableColumn id="16" xr3:uid="{00000000-0010-0000-0B00-000010000000}" name="15" totalsRowFunction="custom" dataDxfId="693" totalsRowDxfId="17">
      <totalsRowFormula>SUM(December[15])</totalsRowFormula>
    </tableColumn>
    <tableColumn id="17" xr3:uid="{00000000-0010-0000-0B00-000011000000}" name="16" totalsRowFunction="custom" dataDxfId="692" totalsRowDxfId="16">
      <totalsRowFormula>SUM(December[16])</totalsRowFormula>
    </tableColumn>
    <tableColumn id="18" xr3:uid="{00000000-0010-0000-0B00-000012000000}" name="17" totalsRowFunction="custom" dataDxfId="691" totalsRowDxfId="15">
      <totalsRowFormula>SUM(December[17])</totalsRowFormula>
    </tableColumn>
    <tableColumn id="19" xr3:uid="{00000000-0010-0000-0B00-000013000000}" name="18" totalsRowFunction="custom" dataDxfId="690" totalsRowDxfId="14">
      <totalsRowFormula>SUM(December[18])</totalsRowFormula>
    </tableColumn>
    <tableColumn id="20" xr3:uid="{00000000-0010-0000-0B00-000014000000}" name="19" totalsRowFunction="custom" dataDxfId="689" totalsRowDxfId="13">
      <totalsRowFormula>SUM(December[19])</totalsRowFormula>
    </tableColumn>
    <tableColumn id="21" xr3:uid="{00000000-0010-0000-0B00-000015000000}" name="20" totalsRowFunction="custom" dataDxfId="688" totalsRowDxfId="12">
      <totalsRowFormula>SUM(December[20])</totalsRowFormula>
    </tableColumn>
    <tableColumn id="22" xr3:uid="{00000000-0010-0000-0B00-000016000000}" name="21" totalsRowFunction="custom" dataDxfId="687" totalsRowDxfId="11">
      <totalsRowFormula>SUM(December[21])</totalsRowFormula>
    </tableColumn>
    <tableColumn id="23" xr3:uid="{00000000-0010-0000-0B00-000017000000}" name="22" totalsRowFunction="custom" dataDxfId="686" totalsRowDxfId="10">
      <totalsRowFormula>SUM(December[22])</totalsRowFormula>
    </tableColumn>
    <tableColumn id="24" xr3:uid="{00000000-0010-0000-0B00-000018000000}" name="23" totalsRowFunction="custom" dataDxfId="685" totalsRowDxfId="9">
      <totalsRowFormula>SUM(December[23])</totalsRowFormula>
    </tableColumn>
    <tableColumn id="25" xr3:uid="{00000000-0010-0000-0B00-000019000000}" name="24" totalsRowFunction="custom" dataDxfId="684" totalsRowDxfId="8">
      <totalsRowFormula>SUM(December[24])</totalsRowFormula>
    </tableColumn>
    <tableColumn id="26" xr3:uid="{00000000-0010-0000-0B00-00001A000000}" name="25" totalsRowFunction="custom" dataDxfId="683" totalsRowDxfId="7">
      <totalsRowFormula>SUM(December[25])</totalsRowFormula>
    </tableColumn>
    <tableColumn id="27" xr3:uid="{00000000-0010-0000-0B00-00001B000000}" name="26" totalsRowFunction="custom" dataDxfId="682" totalsRowDxfId="6">
      <totalsRowFormula>SUM(December[26])</totalsRowFormula>
    </tableColumn>
    <tableColumn id="28" xr3:uid="{00000000-0010-0000-0B00-00001C000000}" name="27" totalsRowFunction="custom" dataDxfId="681" totalsRowDxfId="5">
      <totalsRowFormula>SUM(December[27])</totalsRowFormula>
    </tableColumn>
    <tableColumn id="29" xr3:uid="{00000000-0010-0000-0B00-00001D000000}" name="28" totalsRowFunction="custom" dataDxfId="680" totalsRowDxfId="4">
      <totalsRowFormula>SUM(December[28])</totalsRowFormula>
    </tableColumn>
    <tableColumn id="30" xr3:uid="{00000000-0010-0000-0B00-00001E000000}" name="29" totalsRowFunction="custom" dataDxfId="679" totalsRowDxfId="3">
      <totalsRowFormula>SUM(December[29])</totalsRowFormula>
    </tableColumn>
    <tableColumn id="31" xr3:uid="{00000000-0010-0000-0B00-00001F000000}" name="30" totalsRowFunction="custom" dataDxfId="678" totalsRowDxfId="2">
      <totalsRowFormula>SUM(December[30])</totalsRowFormula>
    </tableColumn>
    <tableColumn id="32" xr3:uid="{00000000-0010-0000-0B00-000020000000}" name="31" totalsRowFunction="custom" dataDxfId="677" totalsRowDxfId="1">
      <totalsRowFormula>SUM(December[31])</totalsRowFormula>
    </tableColumn>
    <tableColumn id="33" xr3:uid="{00000000-0010-0000-0B00-000021000000}" name="Totaal aantal uren" totalsRowFunction="sum" dataDxfId="676" totalsRowDxfId="0" dataCellStyle="Totaal">
      <calculatedColumnFormula>SUM(December[[#This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Biedt een lijst met namen en kalenderdatums om de afwezigheid van werknemers en specifiek afwezigheidstype vast te leggen, zoals V=vakantie, Z=ziek, P=persoonlijk en twee tijdelijke aanduidingen voor aangepaste vermeldingen"/>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WerknemerNaam" displayName="WerknemerNaam" ref="B3:B15" dataCellStyle="Werknemer">
  <autoFilter ref="B3:B15" xr:uid="{00000000-0009-0000-0100-00000D000000}"/>
  <sortState xmlns:xlrd2="http://schemas.microsoft.com/office/spreadsheetml/2017/richdata2" ref="B4:B15">
    <sortCondition ref="B3:B15"/>
  </sortState>
  <tableColumns count="1">
    <tableColumn id="1" xr3:uid="{00000000-0010-0000-0C00-000001000000}" name="Werknemersnamen" totalsRowFunction="count" totalsRowDxfId="675" dataCellStyle="Werknemer"/>
  </tableColumns>
  <tableStyleInfo name="Werknemers Verzuimtabel" showFirstColumn="1" showLastColumn="1" showRowStripes="1" showColumnStripes="0"/>
  <extLst>
    <ext xmlns:x14="http://schemas.microsoft.com/office/spreadsheetml/2009/9/main" uri="{504A1905-F514-4f6f-8877-14C23A59335A}">
      <x14:table altTextSummary="Voer de werknemersnamen in deze tabel in. Deze namen worden gebruikt als optie in kolom B van de verzuimtabel van elke maand"/>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tabColor theme="2" tint="-0.89999084444715716"/>
    <pageSetUpPr fitToPage="1"/>
  </sheetPr>
  <dimension ref="A1:AH19"/>
  <sheetViews>
    <sheetView showGridLines="0" zoomScaleNormal="100" workbookViewId="0">
      <selection activeCell="T16" sqref="T16"/>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1:34" ht="50.1" customHeight="1" x14ac:dyDescent="0.25">
      <c r="A1" s="13"/>
      <c r="B1" s="10" t="s">
        <v>0</v>
      </c>
    </row>
    <row r="2" spans="1:34" ht="15" customHeight="1" x14ac:dyDescent="0.25">
      <c r="B2" s="14" t="s">
        <v>1</v>
      </c>
      <c r="C2" s="21" t="s">
        <v>4</v>
      </c>
      <c r="D2" s="25" t="s">
        <v>7</v>
      </c>
      <c r="E2" s="25"/>
      <c r="F2" s="25"/>
      <c r="G2" s="3" t="s">
        <v>10</v>
      </c>
      <c r="H2" s="25" t="s">
        <v>14</v>
      </c>
      <c r="I2" s="25"/>
      <c r="J2" s="25"/>
      <c r="K2" s="23" t="s">
        <v>12</v>
      </c>
      <c r="L2" s="25" t="s">
        <v>19</v>
      </c>
      <c r="M2" s="25"/>
      <c r="N2" s="5" t="s">
        <v>67</v>
      </c>
      <c r="O2" s="25" t="s">
        <v>66</v>
      </c>
      <c r="P2" s="25"/>
      <c r="Q2" s="25"/>
      <c r="R2" s="22" t="s">
        <v>73</v>
      </c>
      <c r="S2" s="25" t="s">
        <v>72</v>
      </c>
      <c r="T2" s="25"/>
      <c r="U2" s="25"/>
    </row>
    <row r="3" spans="1:34" ht="15" customHeight="1" x14ac:dyDescent="0.25">
      <c r="AH3" s="15" t="s">
        <v>44</v>
      </c>
    </row>
    <row r="4" spans="1:34" ht="30" customHeight="1" x14ac:dyDescent="0.25">
      <c r="B4" s="8" t="s">
        <v>2</v>
      </c>
      <c r="C4" s="24" t="s">
        <v>59</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v>2025</v>
      </c>
    </row>
    <row r="5" spans="1:34" ht="15" customHeight="1" x14ac:dyDescent="0.25">
      <c r="B5" s="8"/>
      <c r="C5" s="1" t="str">
        <f>TEXT(WEEKDAY(DATE(CalendarYear,1,1),1),"aaa")</f>
        <v>wo</v>
      </c>
      <c r="D5" s="1" t="str">
        <f>TEXT(WEEKDAY(DATE(CalendarYear,1,2),1),"aaa")</f>
        <v>do</v>
      </c>
      <c r="E5" s="1" t="str">
        <f>TEXT(WEEKDAY(DATE(CalendarYear,1,3),1),"aaa")</f>
        <v>vr</v>
      </c>
      <c r="F5" s="1" t="str">
        <f>TEXT(WEEKDAY(DATE(CalendarYear,1,4),1),"aaa")</f>
        <v>za</v>
      </c>
      <c r="G5" s="1" t="str">
        <f>TEXT(WEEKDAY(DATE(CalendarYear,1,5),1),"aaa")</f>
        <v>zo</v>
      </c>
      <c r="H5" s="1" t="str">
        <f>TEXT(WEEKDAY(DATE(CalendarYear,1,6),1),"aaa")</f>
        <v>ma</v>
      </c>
      <c r="I5" s="1" t="str">
        <f>TEXT(WEEKDAY(DATE(CalendarYear,1,7),1),"aaa")</f>
        <v>di</v>
      </c>
      <c r="J5" s="1" t="str">
        <f>TEXT(WEEKDAY(DATE(CalendarYear,1,8),1),"aaa")</f>
        <v>wo</v>
      </c>
      <c r="K5" s="1" t="str">
        <f>TEXT(WEEKDAY(DATE(CalendarYear,1,9),1),"aaa")</f>
        <v>do</v>
      </c>
      <c r="L5" s="1" t="str">
        <f>TEXT(WEEKDAY(DATE(CalendarYear,1,10),1),"aaa")</f>
        <v>vr</v>
      </c>
      <c r="M5" s="1" t="str">
        <f>TEXT(WEEKDAY(DATE(CalendarYear,1,11),1),"aaa")</f>
        <v>za</v>
      </c>
      <c r="N5" s="1" t="str">
        <f>TEXT(WEEKDAY(DATE(CalendarYear,1,12),1),"aaa")</f>
        <v>zo</v>
      </c>
      <c r="O5" s="1" t="str">
        <f>TEXT(WEEKDAY(DATE(CalendarYear,1,13),1),"aaa")</f>
        <v>ma</v>
      </c>
      <c r="P5" s="1" t="str">
        <f>TEXT(WEEKDAY(DATE(CalendarYear,1,14),1),"aaa")</f>
        <v>di</v>
      </c>
      <c r="Q5" s="1" t="str">
        <f>TEXT(WEEKDAY(DATE(CalendarYear,1,15),1),"aaa")</f>
        <v>wo</v>
      </c>
      <c r="R5" s="1" t="str">
        <f>TEXT(WEEKDAY(DATE(CalendarYear,1,16),1),"aaa")</f>
        <v>do</v>
      </c>
      <c r="S5" s="1" t="str">
        <f>TEXT(WEEKDAY(DATE(CalendarYear,1,17),1),"aaa")</f>
        <v>vr</v>
      </c>
      <c r="T5" s="1" t="str">
        <f>TEXT(WEEKDAY(DATE(CalendarYear,1,18),1),"aaa")</f>
        <v>za</v>
      </c>
      <c r="U5" s="1" t="str">
        <f>TEXT(WEEKDAY(DATE(CalendarYear,1,19),1),"aaa")</f>
        <v>zo</v>
      </c>
      <c r="V5" s="1" t="str">
        <f>TEXT(WEEKDAY(DATE(CalendarYear,1,20),1),"aaa")</f>
        <v>ma</v>
      </c>
      <c r="W5" s="1" t="str">
        <f>TEXT(WEEKDAY(DATE(CalendarYear,1,21),1),"aaa")</f>
        <v>di</v>
      </c>
      <c r="X5" s="1" t="str">
        <f>TEXT(WEEKDAY(DATE(CalendarYear,1,22),1),"aaa")</f>
        <v>wo</v>
      </c>
      <c r="Y5" s="1" t="str">
        <f>TEXT(WEEKDAY(DATE(CalendarYear,1,23),1),"aaa")</f>
        <v>do</v>
      </c>
      <c r="Z5" s="1" t="str">
        <f>TEXT(WEEKDAY(DATE(CalendarYear,1,24),1),"aaa")</f>
        <v>vr</v>
      </c>
      <c r="AA5" s="1" t="str">
        <f>TEXT(WEEKDAY(DATE(CalendarYear,1,25),1),"aaa")</f>
        <v>za</v>
      </c>
      <c r="AB5" s="1" t="str">
        <f>TEXT(WEEKDAY(DATE(CalendarYear,1,26),1),"aaa")</f>
        <v>zo</v>
      </c>
      <c r="AC5" s="1" t="str">
        <f>TEXT(WEEKDAY(DATE(CalendarYear,1,27),1),"aaa")</f>
        <v>ma</v>
      </c>
      <c r="AD5" s="1" t="str">
        <f>TEXT(WEEKDAY(DATE(CalendarYear,1,28),1),"aaa")</f>
        <v>di</v>
      </c>
      <c r="AE5" s="1" t="str">
        <f>TEXT(WEEKDAY(DATE(CalendarYear,1,29),1),"aaa")</f>
        <v>wo</v>
      </c>
      <c r="AF5" s="1" t="str">
        <f>TEXT(WEEKDAY(DATE(CalendarYear,1,30),1),"aaa")</f>
        <v>do</v>
      </c>
      <c r="AG5" s="1" t="str">
        <f>TEXT(WEEKDAY(DATE(CalendarYear,1,31),1),"aaa")</f>
        <v>vr</v>
      </c>
      <c r="AH5" s="8"/>
    </row>
    <row r="6" spans="1: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1:34" ht="30" customHeight="1" x14ac:dyDescent="0.25">
      <c r="B7" t="s">
        <v>65</v>
      </c>
      <c r="C7" s="1" t="s">
        <v>67</v>
      </c>
      <c r="D7" s="1" t="s">
        <v>67</v>
      </c>
      <c r="E7" s="1">
        <v>3.5</v>
      </c>
      <c r="F7" s="1">
        <v>3.5</v>
      </c>
      <c r="G7" s="1">
        <v>3.5</v>
      </c>
      <c r="H7" s="1" t="s">
        <v>4</v>
      </c>
      <c r="I7" s="1" t="s">
        <v>67</v>
      </c>
      <c r="J7" s="1" t="s">
        <v>67</v>
      </c>
      <c r="K7" s="1" t="s">
        <v>67</v>
      </c>
      <c r="L7" s="1">
        <v>3.5</v>
      </c>
      <c r="M7" s="1">
        <v>3.5</v>
      </c>
      <c r="N7" s="1">
        <v>3.5</v>
      </c>
      <c r="O7" s="1" t="s">
        <v>4</v>
      </c>
      <c r="P7" s="1" t="s">
        <v>67</v>
      </c>
      <c r="Q7" s="1" t="s">
        <v>67</v>
      </c>
      <c r="R7" s="1" t="s">
        <v>67</v>
      </c>
      <c r="S7" s="1">
        <v>3.5</v>
      </c>
      <c r="T7" s="1" t="s">
        <v>4</v>
      </c>
      <c r="U7" s="1">
        <v>3.5</v>
      </c>
      <c r="V7" s="1" t="s">
        <v>4</v>
      </c>
      <c r="W7" s="1" t="s">
        <v>67</v>
      </c>
      <c r="X7" s="1" t="s">
        <v>67</v>
      </c>
      <c r="Y7" s="1" t="s">
        <v>67</v>
      </c>
      <c r="Z7" s="1">
        <v>3.5</v>
      </c>
      <c r="AA7" s="1">
        <v>3.5</v>
      </c>
      <c r="AB7" s="1">
        <v>3.5</v>
      </c>
      <c r="AC7" s="1" t="s">
        <v>4</v>
      </c>
      <c r="AD7" s="1" t="s">
        <v>67</v>
      </c>
      <c r="AE7" s="1" t="s">
        <v>67</v>
      </c>
      <c r="AF7" s="1" t="s">
        <v>67</v>
      </c>
      <c r="AG7" s="1">
        <v>3.5</v>
      </c>
      <c r="AH7" s="7">
        <f>SUM(Januari!$C7:$AG7)</f>
        <v>42</v>
      </c>
    </row>
    <row r="8" spans="1:34" ht="30" customHeight="1" x14ac:dyDescent="0.25">
      <c r="B8" t="s">
        <v>61</v>
      </c>
      <c r="C8" s="1" t="s">
        <v>67</v>
      </c>
      <c r="D8" s="1" t="s">
        <v>67</v>
      </c>
      <c r="E8" s="1" t="s">
        <v>67</v>
      </c>
      <c r="F8" s="1" t="s">
        <v>67</v>
      </c>
      <c r="G8" s="1" t="s">
        <v>67</v>
      </c>
      <c r="H8" s="1" t="s">
        <v>4</v>
      </c>
      <c r="I8" s="1" t="s">
        <v>67</v>
      </c>
      <c r="J8" s="1" t="s">
        <v>67</v>
      </c>
      <c r="K8" s="1" t="s">
        <v>67</v>
      </c>
      <c r="L8" s="1" t="s">
        <v>67</v>
      </c>
      <c r="M8" s="1" t="s">
        <v>67</v>
      </c>
      <c r="N8" s="1" t="s">
        <v>67</v>
      </c>
      <c r="O8" s="1" t="s">
        <v>4</v>
      </c>
      <c r="P8" s="1" t="s">
        <v>67</v>
      </c>
      <c r="Q8" s="1" t="s">
        <v>67</v>
      </c>
      <c r="R8" s="1" t="s">
        <v>67</v>
      </c>
      <c r="S8" s="1" t="s">
        <v>67</v>
      </c>
      <c r="T8" s="1" t="s">
        <v>67</v>
      </c>
      <c r="U8" s="1" t="s">
        <v>67</v>
      </c>
      <c r="V8" s="1" t="s">
        <v>4</v>
      </c>
      <c r="W8" s="1" t="s">
        <v>67</v>
      </c>
      <c r="X8" s="1" t="s">
        <v>67</v>
      </c>
      <c r="Y8" s="1" t="s">
        <v>67</v>
      </c>
      <c r="Z8" s="1" t="s">
        <v>67</v>
      </c>
      <c r="AA8" s="1" t="s">
        <v>67</v>
      </c>
      <c r="AB8" s="1" t="s">
        <v>67</v>
      </c>
      <c r="AC8" s="1" t="s">
        <v>4</v>
      </c>
      <c r="AD8" s="1" t="s">
        <v>67</v>
      </c>
      <c r="AE8" s="1" t="s">
        <v>67</v>
      </c>
      <c r="AF8" s="1" t="s">
        <v>67</v>
      </c>
      <c r="AG8" s="1" t="s">
        <v>67</v>
      </c>
      <c r="AH8" s="7">
        <f>SUM(Januari!$C8:$AG8)</f>
        <v>0</v>
      </c>
    </row>
    <row r="9" spans="1:34" ht="30" customHeight="1" x14ac:dyDescent="0.25">
      <c r="B9" s="19" t="s">
        <v>74</v>
      </c>
      <c r="C9" s="1" t="s">
        <v>67</v>
      </c>
      <c r="D9" s="1" t="s">
        <v>67</v>
      </c>
      <c r="E9" s="1" t="s">
        <v>67</v>
      </c>
      <c r="F9" s="1" t="s">
        <v>67</v>
      </c>
      <c r="G9" s="1" t="s">
        <v>67</v>
      </c>
      <c r="H9" s="1" t="s">
        <v>4</v>
      </c>
      <c r="I9" s="1" t="s">
        <v>67</v>
      </c>
      <c r="J9" s="1" t="s">
        <v>67</v>
      </c>
      <c r="K9" s="1" t="s">
        <v>67</v>
      </c>
      <c r="L9" s="1" t="s">
        <v>67</v>
      </c>
      <c r="M9" s="1" t="s">
        <v>67</v>
      </c>
      <c r="N9" s="1" t="s">
        <v>67</v>
      </c>
      <c r="O9" s="1" t="s">
        <v>4</v>
      </c>
      <c r="P9" s="1" t="s">
        <v>67</v>
      </c>
      <c r="Q9" s="1" t="s">
        <v>67</v>
      </c>
      <c r="R9" s="1" t="s">
        <v>67</v>
      </c>
      <c r="S9" s="1" t="s">
        <v>67</v>
      </c>
      <c r="T9" s="1" t="s">
        <v>67</v>
      </c>
      <c r="U9" s="1" t="s">
        <v>67</v>
      </c>
      <c r="V9" s="1" t="s">
        <v>4</v>
      </c>
      <c r="W9" s="1" t="s">
        <v>67</v>
      </c>
      <c r="X9" s="1" t="s">
        <v>67</v>
      </c>
      <c r="Y9" s="1" t="s">
        <v>67</v>
      </c>
      <c r="Z9" s="1" t="s">
        <v>67</v>
      </c>
      <c r="AA9" s="1" t="s">
        <v>67</v>
      </c>
      <c r="AB9" s="1" t="s">
        <v>67</v>
      </c>
      <c r="AC9" s="1" t="s">
        <v>4</v>
      </c>
      <c r="AD9" s="1" t="s">
        <v>67</v>
      </c>
      <c r="AE9" s="1" t="s">
        <v>67</v>
      </c>
      <c r="AF9" s="1" t="s">
        <v>67</v>
      </c>
      <c r="AG9" s="1" t="s">
        <v>67</v>
      </c>
      <c r="AH9" s="7">
        <f>SUM(Januari!$C9:$AG9)</f>
        <v>0</v>
      </c>
    </row>
    <row r="10" spans="1:34" ht="30" customHeight="1" x14ac:dyDescent="0.25">
      <c r="B10" s="20" t="s">
        <v>76</v>
      </c>
      <c r="C10" s="1">
        <v>5</v>
      </c>
      <c r="D10" s="1" t="s">
        <v>67</v>
      </c>
      <c r="E10" s="1">
        <v>5</v>
      </c>
      <c r="F10" s="1">
        <v>5</v>
      </c>
      <c r="G10" s="1">
        <v>5</v>
      </c>
      <c r="H10" s="1" t="s">
        <v>4</v>
      </c>
      <c r="I10" s="1" t="s">
        <v>67</v>
      </c>
      <c r="J10" s="1" t="s">
        <v>67</v>
      </c>
      <c r="K10" s="1" t="s">
        <v>67</v>
      </c>
      <c r="L10" s="1">
        <v>5</v>
      </c>
      <c r="M10" s="1">
        <v>5</v>
      </c>
      <c r="N10" s="1">
        <v>5</v>
      </c>
      <c r="O10" s="1" t="s">
        <v>4</v>
      </c>
      <c r="P10" s="1" t="s">
        <v>67</v>
      </c>
      <c r="Q10" s="1" t="s">
        <v>67</v>
      </c>
      <c r="R10" s="1" t="s">
        <v>67</v>
      </c>
      <c r="S10" s="1">
        <v>5</v>
      </c>
      <c r="T10" s="1">
        <v>5</v>
      </c>
      <c r="U10" s="1">
        <v>5</v>
      </c>
      <c r="V10" s="1" t="s">
        <v>4</v>
      </c>
      <c r="W10" s="1" t="s">
        <v>67</v>
      </c>
      <c r="X10" s="1" t="s">
        <v>67</v>
      </c>
      <c r="Y10" s="1" t="s">
        <v>67</v>
      </c>
      <c r="Z10" s="1">
        <v>5</v>
      </c>
      <c r="AA10" s="1">
        <v>5</v>
      </c>
      <c r="AB10" s="1">
        <v>5</v>
      </c>
      <c r="AC10" s="1" t="s">
        <v>4</v>
      </c>
      <c r="AD10" s="1" t="s">
        <v>67</v>
      </c>
      <c r="AE10" s="1" t="s">
        <v>67</v>
      </c>
      <c r="AF10" s="1" t="s">
        <v>67</v>
      </c>
      <c r="AG10" s="1">
        <v>5</v>
      </c>
      <c r="AH10" s="7">
        <f>SUM(Januari!$C10:$AG10)</f>
        <v>70</v>
      </c>
    </row>
    <row r="11" spans="1:34" ht="30" customHeight="1" x14ac:dyDescent="0.25">
      <c r="B11" t="s">
        <v>64</v>
      </c>
      <c r="C11" s="1">
        <v>4</v>
      </c>
      <c r="D11" s="1">
        <v>4</v>
      </c>
      <c r="E11" s="1">
        <v>4</v>
      </c>
      <c r="F11" s="1">
        <v>4</v>
      </c>
      <c r="G11" s="1">
        <v>4</v>
      </c>
      <c r="H11" s="1" t="s">
        <v>4</v>
      </c>
      <c r="I11" s="1" t="s">
        <v>67</v>
      </c>
      <c r="J11" s="1" t="s">
        <v>67</v>
      </c>
      <c r="K11" s="1" t="s">
        <v>67</v>
      </c>
      <c r="L11" s="1" t="s">
        <v>67</v>
      </c>
      <c r="M11" s="1">
        <v>4</v>
      </c>
      <c r="N11" s="1">
        <v>4</v>
      </c>
      <c r="O11" s="1" t="s">
        <v>4</v>
      </c>
      <c r="P11" s="1" t="s">
        <v>67</v>
      </c>
      <c r="Q11" s="1">
        <v>4</v>
      </c>
      <c r="R11" s="1">
        <v>4</v>
      </c>
      <c r="S11" s="1">
        <v>4</v>
      </c>
      <c r="T11" s="1">
        <v>4</v>
      </c>
      <c r="U11" s="1">
        <v>4</v>
      </c>
      <c r="V11" s="1" t="s">
        <v>4</v>
      </c>
      <c r="W11" s="1" t="s">
        <v>67</v>
      </c>
      <c r="X11" s="1" t="s">
        <v>67</v>
      </c>
      <c r="Y11" s="1" t="s">
        <v>67</v>
      </c>
      <c r="Z11" s="1" t="s">
        <v>67</v>
      </c>
      <c r="AA11" s="1">
        <v>4</v>
      </c>
      <c r="AB11" s="1">
        <v>4</v>
      </c>
      <c r="AC11" s="1" t="s">
        <v>4</v>
      </c>
      <c r="AD11" s="1" t="s">
        <v>67</v>
      </c>
      <c r="AE11" s="1">
        <v>4</v>
      </c>
      <c r="AF11" s="1">
        <v>4</v>
      </c>
      <c r="AG11" s="1" t="s">
        <v>4</v>
      </c>
      <c r="AH11" s="7">
        <f>SUM(Januari!$C11:$AG11)</f>
        <v>64</v>
      </c>
    </row>
    <row r="12" spans="1:34" ht="30" customHeight="1" x14ac:dyDescent="0.25">
      <c r="B12" t="s">
        <v>71</v>
      </c>
      <c r="C12" s="1">
        <v>4</v>
      </c>
      <c r="D12" s="1" t="s">
        <v>67</v>
      </c>
      <c r="E12" s="1">
        <v>4</v>
      </c>
      <c r="F12" s="1">
        <v>4</v>
      </c>
      <c r="G12" s="1">
        <v>4</v>
      </c>
      <c r="H12" s="1" t="s">
        <v>4</v>
      </c>
      <c r="I12" s="1" t="s">
        <v>67</v>
      </c>
      <c r="J12" s="1" t="s">
        <v>67</v>
      </c>
      <c r="K12" s="1" t="s">
        <v>67</v>
      </c>
      <c r="L12" s="1">
        <v>4</v>
      </c>
      <c r="M12" s="1">
        <v>4</v>
      </c>
      <c r="N12" s="1">
        <v>4</v>
      </c>
      <c r="O12" s="1" t="s">
        <v>4</v>
      </c>
      <c r="P12" s="1" t="s">
        <v>67</v>
      </c>
      <c r="Q12" s="1" t="s">
        <v>67</v>
      </c>
      <c r="R12" s="1" t="s">
        <v>67</v>
      </c>
      <c r="S12" s="1">
        <v>4</v>
      </c>
      <c r="T12" s="1">
        <v>4</v>
      </c>
      <c r="U12" s="1">
        <v>4</v>
      </c>
      <c r="V12" s="1" t="s">
        <v>4</v>
      </c>
      <c r="W12" s="1" t="s">
        <v>67</v>
      </c>
      <c r="X12" s="1" t="s">
        <v>67</v>
      </c>
      <c r="Y12" s="1" t="s">
        <v>67</v>
      </c>
      <c r="Z12" s="1">
        <v>4</v>
      </c>
      <c r="AA12" s="1">
        <v>4</v>
      </c>
      <c r="AB12" s="1">
        <v>4</v>
      </c>
      <c r="AC12" s="1" t="s">
        <v>4</v>
      </c>
      <c r="AD12" s="1" t="s">
        <v>67</v>
      </c>
      <c r="AE12" s="1" t="s">
        <v>67</v>
      </c>
      <c r="AF12" s="1" t="s">
        <v>67</v>
      </c>
      <c r="AG12" s="1">
        <v>4</v>
      </c>
      <c r="AH12" s="7">
        <f>SUM(Januari!$C12:$AG12)</f>
        <v>56</v>
      </c>
    </row>
    <row r="13" spans="1:34" ht="30" customHeight="1" x14ac:dyDescent="0.25">
      <c r="B13" t="s">
        <v>70</v>
      </c>
      <c r="C13" s="1" t="s">
        <v>67</v>
      </c>
      <c r="D13" s="1" t="s">
        <v>67</v>
      </c>
      <c r="E13" s="1">
        <v>4</v>
      </c>
      <c r="F13" s="1">
        <v>4</v>
      </c>
      <c r="G13" s="1">
        <v>4</v>
      </c>
      <c r="H13" s="1" t="s">
        <v>4</v>
      </c>
      <c r="I13" s="1" t="s">
        <v>67</v>
      </c>
      <c r="J13" s="1" t="s">
        <v>67</v>
      </c>
      <c r="K13" s="1" t="s">
        <v>67</v>
      </c>
      <c r="L13" s="1">
        <v>4</v>
      </c>
      <c r="M13" s="1">
        <v>4</v>
      </c>
      <c r="N13" s="1">
        <v>4</v>
      </c>
      <c r="O13" s="1" t="s">
        <v>4</v>
      </c>
      <c r="P13" s="1" t="s">
        <v>67</v>
      </c>
      <c r="Q13" s="1" t="s">
        <v>67</v>
      </c>
      <c r="R13" s="1" t="s">
        <v>67</v>
      </c>
      <c r="S13" s="1">
        <v>4</v>
      </c>
      <c r="T13" s="1">
        <v>4</v>
      </c>
      <c r="U13" s="1">
        <v>4</v>
      </c>
      <c r="V13" s="1" t="s">
        <v>4</v>
      </c>
      <c r="W13" s="1" t="s">
        <v>67</v>
      </c>
      <c r="X13" s="1" t="s">
        <v>67</v>
      </c>
      <c r="Y13" s="1" t="s">
        <v>67</v>
      </c>
      <c r="Z13" s="1">
        <v>4</v>
      </c>
      <c r="AA13" s="1">
        <v>4</v>
      </c>
      <c r="AB13" s="1">
        <v>4</v>
      </c>
      <c r="AC13" s="1" t="s">
        <v>4</v>
      </c>
      <c r="AD13" s="1" t="s">
        <v>67</v>
      </c>
      <c r="AE13" s="1" t="s">
        <v>67</v>
      </c>
      <c r="AF13" s="1" t="s">
        <v>67</v>
      </c>
      <c r="AG13" s="1">
        <v>4</v>
      </c>
      <c r="AH13" s="7">
        <f>SUM(Januari!$C13:$AG13)</f>
        <v>52</v>
      </c>
    </row>
    <row r="14" spans="1:34" ht="30" customHeight="1" x14ac:dyDescent="0.25">
      <c r="B14" t="s">
        <v>63</v>
      </c>
      <c r="C14" s="1">
        <v>3</v>
      </c>
      <c r="D14" s="1" t="s">
        <v>67</v>
      </c>
      <c r="E14" s="1">
        <v>3.5</v>
      </c>
      <c r="F14" s="1">
        <v>3.5</v>
      </c>
      <c r="G14" s="1">
        <v>3.5</v>
      </c>
      <c r="H14" s="1" t="s">
        <v>4</v>
      </c>
      <c r="I14" s="1" t="s">
        <v>67</v>
      </c>
      <c r="J14" s="1" t="s">
        <v>67</v>
      </c>
      <c r="K14" s="1" t="s">
        <v>67</v>
      </c>
      <c r="L14" s="1">
        <v>3.5</v>
      </c>
      <c r="M14" s="1">
        <v>3.5</v>
      </c>
      <c r="N14" s="1">
        <v>3.5</v>
      </c>
      <c r="O14" s="1" t="s">
        <v>4</v>
      </c>
      <c r="P14" s="1">
        <v>3.5</v>
      </c>
      <c r="Q14" s="1">
        <v>3.5</v>
      </c>
      <c r="R14" s="1" t="s">
        <v>67</v>
      </c>
      <c r="S14" s="1">
        <v>3.5</v>
      </c>
      <c r="T14" s="1">
        <v>4</v>
      </c>
      <c r="U14" s="1">
        <v>3.5</v>
      </c>
      <c r="V14" s="1" t="s">
        <v>4</v>
      </c>
      <c r="W14" s="1" t="s">
        <v>67</v>
      </c>
      <c r="X14" s="1" t="s">
        <v>67</v>
      </c>
      <c r="Y14" s="1" t="s">
        <v>67</v>
      </c>
      <c r="Z14" s="1" t="s">
        <v>67</v>
      </c>
      <c r="AA14" s="1" t="s">
        <v>67</v>
      </c>
      <c r="AB14" s="1" t="s">
        <v>67</v>
      </c>
      <c r="AC14" s="1" t="s">
        <v>4</v>
      </c>
      <c r="AD14" s="1" t="s">
        <v>67</v>
      </c>
      <c r="AE14" s="1" t="s">
        <v>67</v>
      </c>
      <c r="AF14" s="1" t="s">
        <v>67</v>
      </c>
      <c r="AG14" s="1" t="s">
        <v>67</v>
      </c>
      <c r="AH14" s="7">
        <f>SUM(Januari!$C14:$AG14)</f>
        <v>42</v>
      </c>
    </row>
    <row r="15" spans="1:34" ht="30" customHeight="1" x14ac:dyDescent="0.25">
      <c r="B15" t="s">
        <v>60</v>
      </c>
      <c r="C15" s="1" t="s">
        <v>67</v>
      </c>
      <c r="D15" s="1" t="s">
        <v>67</v>
      </c>
      <c r="E15" s="1" t="s">
        <v>67</v>
      </c>
      <c r="F15" s="1" t="s">
        <v>67</v>
      </c>
      <c r="G15" s="1" t="s">
        <v>67</v>
      </c>
      <c r="H15" s="1" t="s">
        <v>4</v>
      </c>
      <c r="I15" s="1" t="s">
        <v>67</v>
      </c>
      <c r="J15" s="1" t="s">
        <v>67</v>
      </c>
      <c r="K15" s="1" t="s">
        <v>67</v>
      </c>
      <c r="L15" s="1" t="s">
        <v>67</v>
      </c>
      <c r="M15" s="1" t="s">
        <v>67</v>
      </c>
      <c r="N15" s="1" t="s">
        <v>67</v>
      </c>
      <c r="O15" s="1" t="s">
        <v>4</v>
      </c>
      <c r="P15" s="1" t="s">
        <v>67</v>
      </c>
      <c r="Q15" s="1" t="s">
        <v>67</v>
      </c>
      <c r="R15" s="1" t="s">
        <v>67</v>
      </c>
      <c r="S15" s="1" t="s">
        <v>67</v>
      </c>
      <c r="T15" s="1" t="s">
        <v>67</v>
      </c>
      <c r="U15" s="1" t="s">
        <v>67</v>
      </c>
      <c r="V15" s="1" t="s">
        <v>4</v>
      </c>
      <c r="W15" s="1" t="s">
        <v>67</v>
      </c>
      <c r="X15" s="1" t="s">
        <v>67</v>
      </c>
      <c r="Y15" s="1" t="s">
        <v>67</v>
      </c>
      <c r="Z15" s="1" t="s">
        <v>67</v>
      </c>
      <c r="AA15" s="1" t="s">
        <v>67</v>
      </c>
      <c r="AB15" s="1" t="s">
        <v>67</v>
      </c>
      <c r="AC15" s="1" t="s">
        <v>4</v>
      </c>
      <c r="AD15" s="1" t="s">
        <v>67</v>
      </c>
      <c r="AE15" s="1" t="s">
        <v>67</v>
      </c>
      <c r="AF15" s="1" t="s">
        <v>67</v>
      </c>
      <c r="AG15" s="1" t="s">
        <v>67</v>
      </c>
      <c r="AH15" s="7">
        <f>SUM(Januari!$C15:$AG15)</f>
        <v>0</v>
      </c>
    </row>
    <row r="16" spans="1:34" ht="30" customHeight="1" x14ac:dyDescent="0.25">
      <c r="B16" t="s">
        <v>62</v>
      </c>
      <c r="C16" s="1" t="s">
        <v>67</v>
      </c>
      <c r="D16" s="1" t="s">
        <v>67</v>
      </c>
      <c r="E16" s="1" t="s">
        <v>67</v>
      </c>
      <c r="F16" s="1" t="s">
        <v>67</v>
      </c>
      <c r="G16" s="1" t="s">
        <v>67</v>
      </c>
      <c r="H16" s="1" t="s">
        <v>4</v>
      </c>
      <c r="I16" s="1" t="s">
        <v>67</v>
      </c>
      <c r="J16" s="1" t="s">
        <v>67</v>
      </c>
      <c r="K16" s="1" t="s">
        <v>67</v>
      </c>
      <c r="L16" s="1" t="s">
        <v>67</v>
      </c>
      <c r="M16" s="1" t="s">
        <v>67</v>
      </c>
      <c r="N16" s="1" t="s">
        <v>67</v>
      </c>
      <c r="O16" s="1" t="s">
        <v>4</v>
      </c>
      <c r="P16" s="1" t="s">
        <v>67</v>
      </c>
      <c r="Q16" s="1" t="s">
        <v>67</v>
      </c>
      <c r="R16" s="1" t="s">
        <v>67</v>
      </c>
      <c r="S16" s="1" t="s">
        <v>67</v>
      </c>
      <c r="T16" s="1" t="s">
        <v>67</v>
      </c>
      <c r="U16" s="1" t="s">
        <v>67</v>
      </c>
      <c r="V16" s="1" t="s">
        <v>4</v>
      </c>
      <c r="W16" s="1" t="s">
        <v>67</v>
      </c>
      <c r="X16" s="1" t="s">
        <v>67</v>
      </c>
      <c r="Y16" s="1" t="s">
        <v>67</v>
      </c>
      <c r="Z16" s="1" t="s">
        <v>67</v>
      </c>
      <c r="AA16" s="1" t="s">
        <v>67</v>
      </c>
      <c r="AB16" s="1" t="s">
        <v>67</v>
      </c>
      <c r="AC16" s="1" t="s">
        <v>4</v>
      </c>
      <c r="AD16" s="1" t="s">
        <v>67</v>
      </c>
      <c r="AE16" s="1" t="s">
        <v>67</v>
      </c>
      <c r="AF16" s="1" t="s">
        <v>67</v>
      </c>
      <c r="AG16" s="1" t="s">
        <v>67</v>
      </c>
      <c r="AH16" s="7">
        <f>SUM(Januari!$C16:$AG16)</f>
        <v>0</v>
      </c>
    </row>
    <row r="17" spans="2:34" ht="30" customHeight="1" x14ac:dyDescent="0.25">
      <c r="B17" s="19" t="s">
        <v>75</v>
      </c>
      <c r="C17" s="1">
        <v>5</v>
      </c>
      <c r="D17" s="1" t="s">
        <v>67</v>
      </c>
      <c r="E17" s="1">
        <v>5</v>
      </c>
      <c r="F17" s="1">
        <v>5</v>
      </c>
      <c r="G17" s="1">
        <v>5</v>
      </c>
      <c r="H17" s="1" t="s">
        <v>4</v>
      </c>
      <c r="I17" s="1" t="s">
        <v>67</v>
      </c>
      <c r="J17" s="1" t="s">
        <v>67</v>
      </c>
      <c r="K17" s="1" t="s">
        <v>67</v>
      </c>
      <c r="L17" s="1">
        <v>5</v>
      </c>
      <c r="M17" s="1">
        <v>5</v>
      </c>
      <c r="N17" s="1">
        <v>5</v>
      </c>
      <c r="O17" s="1" t="s">
        <v>4</v>
      </c>
      <c r="P17" s="1" t="s">
        <v>67</v>
      </c>
      <c r="Q17" s="1" t="s">
        <v>67</v>
      </c>
      <c r="R17" s="1" t="s">
        <v>67</v>
      </c>
      <c r="S17" s="1">
        <v>5</v>
      </c>
      <c r="T17" s="1">
        <v>5</v>
      </c>
      <c r="U17" s="1">
        <v>5</v>
      </c>
      <c r="V17" s="1" t="s">
        <v>4</v>
      </c>
      <c r="W17" s="1" t="s">
        <v>67</v>
      </c>
      <c r="X17" s="1" t="s">
        <v>67</v>
      </c>
      <c r="Y17" s="1" t="s">
        <v>67</v>
      </c>
      <c r="Z17" s="1">
        <v>5</v>
      </c>
      <c r="AA17" s="1">
        <v>5</v>
      </c>
      <c r="AB17" s="1">
        <v>5</v>
      </c>
      <c r="AC17" s="1" t="s">
        <v>4</v>
      </c>
      <c r="AD17" s="1" t="s">
        <v>67</v>
      </c>
      <c r="AE17" s="1" t="s">
        <v>67</v>
      </c>
      <c r="AF17" s="1" t="s">
        <v>67</v>
      </c>
      <c r="AG17" s="1">
        <v>5</v>
      </c>
      <c r="AH17" s="7">
        <f>SUM(Januari!$C17:$AG17)</f>
        <v>70</v>
      </c>
    </row>
    <row r="18" spans="2:34" ht="30" customHeight="1" x14ac:dyDescent="0.25">
      <c r="B18" t="s">
        <v>69</v>
      </c>
      <c r="C18" s="1">
        <v>3</v>
      </c>
      <c r="D18" s="1" t="s">
        <v>67</v>
      </c>
      <c r="E18" s="1" t="s">
        <v>67</v>
      </c>
      <c r="F18" s="1">
        <v>3.5</v>
      </c>
      <c r="G18" s="1">
        <v>3.5</v>
      </c>
      <c r="H18" s="1" t="s">
        <v>4</v>
      </c>
      <c r="I18" s="1" t="s">
        <v>67</v>
      </c>
      <c r="J18" s="1" t="s">
        <v>67</v>
      </c>
      <c r="K18" s="1" t="s">
        <v>67</v>
      </c>
      <c r="L18" s="1">
        <v>3.5</v>
      </c>
      <c r="M18" s="1">
        <v>3.5</v>
      </c>
      <c r="N18" s="1">
        <v>3.5</v>
      </c>
      <c r="O18" s="1" t="s">
        <v>4</v>
      </c>
      <c r="P18" s="1" t="s">
        <v>67</v>
      </c>
      <c r="Q18" s="1" t="s">
        <v>67</v>
      </c>
      <c r="R18" s="1" t="s">
        <v>67</v>
      </c>
      <c r="S18" s="1" t="s">
        <v>67</v>
      </c>
      <c r="T18" s="1">
        <v>3.5</v>
      </c>
      <c r="U18" s="1">
        <v>3.5</v>
      </c>
      <c r="V18" s="1" t="s">
        <v>4</v>
      </c>
      <c r="W18" s="1" t="s">
        <v>67</v>
      </c>
      <c r="X18" s="1" t="s">
        <v>67</v>
      </c>
      <c r="Y18" s="1" t="s">
        <v>67</v>
      </c>
      <c r="Z18" s="1">
        <v>3.5</v>
      </c>
      <c r="AA18" s="1">
        <v>3.5</v>
      </c>
      <c r="AB18" s="1">
        <v>3.5</v>
      </c>
      <c r="AC18" s="1" t="s">
        <v>4</v>
      </c>
      <c r="AD18" s="1" t="s">
        <v>67</v>
      </c>
      <c r="AE18" s="1" t="s">
        <v>67</v>
      </c>
      <c r="AF18" s="1" t="s">
        <v>67</v>
      </c>
      <c r="AG18" s="1" t="s">
        <v>67</v>
      </c>
      <c r="AH18" s="7">
        <f>SUM(Januari!$C18:$AG18)</f>
        <v>38</v>
      </c>
    </row>
    <row r="19" spans="2:34" ht="30" customHeight="1" x14ac:dyDescent="0.25">
      <c r="B19" t="str">
        <f>MonthName&amp;" Totaal"</f>
        <v>Januari Totaal</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f>SUBTOTAL(109,Januari[Totaal aantal uren])</f>
        <v>434</v>
      </c>
    </row>
  </sheetData>
  <mergeCells count="6">
    <mergeCell ref="C4:AG4"/>
    <mergeCell ref="D2:F2"/>
    <mergeCell ref="H2:J2"/>
    <mergeCell ref="L2:M2"/>
    <mergeCell ref="O2:Q2"/>
    <mergeCell ref="S2:U2"/>
  </mergeCells>
  <phoneticPr fontId="19" type="noConversion"/>
  <conditionalFormatting sqref="C7:AG18">
    <cfRule type="expression" priority="1" stopIfTrue="1">
      <formula>C7=""</formula>
    </cfRule>
    <cfRule type="expression" dxfId="674" priority="6" stopIfTrue="1">
      <formula>C7=KeyCustom2</formula>
    </cfRule>
    <cfRule type="expression" dxfId="673" priority="7" stopIfTrue="1">
      <formula>C7=KeyCustom1</formula>
    </cfRule>
    <cfRule type="expression" dxfId="672" priority="8" stopIfTrue="1">
      <formula>C7=KeySick</formula>
    </cfRule>
    <cfRule type="expression" dxfId="671" priority="9" stopIfTrue="1">
      <formula>C7=KeyPersonal</formula>
    </cfRule>
    <cfRule type="expression" dxfId="670" priority="10" stopIfTrue="1">
      <formula>C7=KeyVacation</formula>
    </cfRule>
  </conditionalFormatting>
  <conditionalFormatting sqref="AH7:AH18">
    <cfRule type="dataBar" priority="168">
      <dataBar>
        <cfvo type="num" val="0"/>
        <cfvo type="num" val="31"/>
        <color theme="2" tint="-0.249977111117893"/>
      </dataBar>
      <extLst>
        <ext xmlns:x14="http://schemas.microsoft.com/office/spreadsheetml/2009/9/main" uri="{B025F937-C7B1-47D3-B67F-A62EFF666E3E}">
          <x14:id>{ECCE2C3C-1B01-4700-B60E-DAAAB19A9C1A}</x14:id>
        </ext>
      </extLst>
    </cfRule>
  </conditionalFormatting>
  <dataValidations count="15">
    <dataValidation allowBlank="1" showInputMessage="1" showErrorMessage="1" prompt="Voer het jaar in deze cel in" sqref="AH4" xr:uid="{00000000-0002-0000-0000-000000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000-000001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000-000002000000}"/>
    <dataValidation allowBlank="1" showInputMessage="1" showErrorMessage="1" prompt="Weekdagen in deze rij worden automatisch bijgewerkt voor de maand, overeenkomstig het jaar dat is ingevoerd in AH4. Elke dag van de maand is een kolom om het verzuim en type verzuim van een werknemer te noteren" sqref="C5" xr:uid="{00000000-0002-0000-0000-000003000000}"/>
    <dataValidation allowBlank="1" showInputMessage="1" showErrorMessage="1" prompt="Berekent automatisch het totaal aantal dagen dat een werknemer in deze maand niet afwezig was" sqref="AH6" xr:uid="{00000000-0002-0000-0000-000004000000}"/>
    <dataValidation allowBlank="1" showInputMessage="1" showErrorMessage="1" prompt="De titel van het werkblad bevindt zich in deze cel. Werk de titel bij en de wijzigingen worden automatisch overgenomen door elk werkblad" sqref="B1" xr:uid="{00000000-0002-0000-0000-000005000000}"/>
    <dataValidation allowBlank="1" showInputMessage="1" showErrorMessage="1" prompt="Maand van dit verzuimschema. Werk het jaar bij in cel AH4. Houd de totalen bij per maand in de laatste cel van de tabel. Namen van werknemers invoeren in tabelkolom B" sqref="B4" xr:uid="{00000000-0002-0000-0000-000006000000}"/>
    <dataValidation allowBlank="1" showInputMessage="1" showErrorMessage="1" prompt="Deze rij definieert de sleutels die worden gebruikt in de tabel: cel C2 is Vakantie, G2 is Persoonlijk en K2 is Ziekteverlof. De cellen N2 en R2 kunnen worden aangepast" sqref="B2" xr:uid="{00000000-0002-0000-0000-000007000000}"/>
    <dataValidation allowBlank="1" showInputMessage="1" showErrorMessage="1" prompt="De letter &quot;V&quot; geeft afwezigheid vanwege vakantie aan" sqref="C2" xr:uid="{00000000-0002-0000-0000-000008000000}"/>
    <dataValidation allowBlank="1" showInputMessage="1" showErrorMessage="1" prompt="De letter &quot;P&quot; geeft afwezigheid vanwege persoonlijke redenen aan" sqref="G2" xr:uid="{00000000-0002-0000-0000-000009000000}"/>
    <dataValidation allowBlank="1" showInputMessage="1" showErrorMessage="1" prompt="De letter &quot;Z&quot; geeft afwezigheid vanwege ziekte aan" sqref="K2" xr:uid="{00000000-0002-0000-0000-00000A000000}"/>
    <dataValidation allowBlank="1" showInputMessage="1" showErrorMessage="1" prompt="Voer een letter in en pas rechts het label aan om een ander sleutelitem toe te voegen" sqref="N2 R2" xr:uid="{00000000-0002-0000-0000-00000B000000}"/>
    <dataValidation allowBlank="1" showInputMessage="1" showErrorMessage="1" prompt="Voer links een label in om de aangepaste sleutel te beschrijven" sqref="O2:Q2 S2:U2" xr:uid="{00000000-0002-0000-0000-00000C000000}"/>
    <dataValidation allowBlank="1" showInputMessage="1" showErrorMessage="1" prompt="De Werknemers Verzuimtabel houdt het verzuim van werknemers per dag bij voor elke maand. Er zijn 13 werkbladen, met een maandelijkse en laatste voor namen van werknemers. Het verzuim van januari in dit werkblad volgen" sqref="A1" xr:uid="{00000000-0002-0000-0000-00000D000000}"/>
    <dataValidation allowBlank="1" showInputMessage="1" showErrorMessage="1" prompt="Jaar invoeren in de cel eronder" sqref="AH3" xr:uid="{00000000-0002-0000-0000-00000E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x14:cfvo type="num">
                <xm:f>0</xm:f>
              </x14:cfvo>
              <x14:cfvo type="num">
                <xm:f>31</xm:f>
              </x14:cfvo>
              <x14:negativeFillColor rgb="FFFF0000"/>
              <x14:axisColor rgb="FF000000"/>
            </x14:dataBar>
          </x14:cfRule>
          <xm:sqref>AH7:AH18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theme="2" tint="-0.749992370372631"/>
    <pageSetUpPr fitToPage="1"/>
  </sheetPr>
  <dimension ref="B1:AH19"/>
  <sheetViews>
    <sheetView showGridLines="0" zoomScaleNormal="100" workbookViewId="0">
      <selection activeCell="K18" sqref="K18"/>
    </sheetView>
  </sheetViews>
  <sheetFormatPr defaultColWidth="9.140625"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row r="4" spans="2:34" ht="30" customHeight="1" x14ac:dyDescent="0.25">
      <c r="B4" s="8" t="s">
        <v>45</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TEXT(WEEKDAY(DATE(CalendarYear,2,1),1),"aaa")</f>
        <v>za</v>
      </c>
      <c r="D5" s="1" t="str">
        <f>TEXT(WEEKDAY(DATE(CalendarYear,2,2),1),"aaa")</f>
        <v>zo</v>
      </c>
      <c r="E5" s="1" t="str">
        <f>TEXT(WEEKDAY(DATE(CalendarYear,2,3),1),"aaa")</f>
        <v>ma</v>
      </c>
      <c r="F5" s="1" t="str">
        <f>TEXT(WEEKDAY(DATE(CalendarYear,2,4),1),"aaa")</f>
        <v>di</v>
      </c>
      <c r="G5" s="1" t="str">
        <f>TEXT(WEEKDAY(DATE(CalendarYear,2,5),1),"aaa")</f>
        <v>wo</v>
      </c>
      <c r="H5" s="1" t="str">
        <f>TEXT(WEEKDAY(DATE(CalendarYear,2,6),1),"aaa")</f>
        <v>do</v>
      </c>
      <c r="I5" s="1" t="str">
        <f>TEXT(WEEKDAY(DATE(CalendarYear,2,7),1),"aaa")</f>
        <v>vr</v>
      </c>
      <c r="J5" s="1" t="str">
        <f>TEXT(WEEKDAY(DATE(CalendarYear,2,8),1),"aaa")</f>
        <v>za</v>
      </c>
      <c r="K5" s="1" t="str">
        <f>TEXT(WEEKDAY(DATE(CalendarYear,2,9),1),"aaa")</f>
        <v>zo</v>
      </c>
      <c r="L5" s="1" t="str">
        <f>TEXT(WEEKDAY(DATE(CalendarYear,2,10),1),"aaa")</f>
        <v>ma</v>
      </c>
      <c r="M5" s="1" t="str">
        <f>TEXT(WEEKDAY(DATE(CalendarYear,2,11),1),"aaa")</f>
        <v>di</v>
      </c>
      <c r="N5" s="1" t="str">
        <f>TEXT(WEEKDAY(DATE(CalendarYear,2,12),1),"aaa")</f>
        <v>wo</v>
      </c>
      <c r="O5" s="1" t="str">
        <f>TEXT(WEEKDAY(DATE(CalendarYear,2,13),1),"aaa")</f>
        <v>do</v>
      </c>
      <c r="P5" s="1" t="str">
        <f>TEXT(WEEKDAY(DATE(CalendarYear,2,14),1),"aaa")</f>
        <v>vr</v>
      </c>
      <c r="Q5" s="1" t="str">
        <f>TEXT(WEEKDAY(DATE(CalendarYear,2,15),1),"aaa")</f>
        <v>za</v>
      </c>
      <c r="R5" s="1" t="str">
        <f>TEXT(WEEKDAY(DATE(CalendarYear,2,16),1),"aaa")</f>
        <v>zo</v>
      </c>
      <c r="S5" s="1" t="str">
        <f>TEXT(WEEKDAY(DATE(CalendarYear,2,17),1),"aaa")</f>
        <v>ma</v>
      </c>
      <c r="T5" s="1" t="str">
        <f>TEXT(WEEKDAY(DATE(CalendarYear,2,18),1),"aaa")</f>
        <v>di</v>
      </c>
      <c r="U5" s="1" t="str">
        <f>TEXT(WEEKDAY(DATE(CalendarYear,2,19),1),"aaa")</f>
        <v>wo</v>
      </c>
      <c r="V5" s="1" t="str">
        <f>TEXT(WEEKDAY(DATE(CalendarYear,2,20),1),"aaa")</f>
        <v>do</v>
      </c>
      <c r="W5" s="1" t="str">
        <f>TEXT(WEEKDAY(DATE(CalendarYear,2,21),1),"aaa")</f>
        <v>vr</v>
      </c>
      <c r="X5" s="1" t="str">
        <f>TEXT(WEEKDAY(DATE(CalendarYear,2,22),1),"aaa")</f>
        <v>za</v>
      </c>
      <c r="Y5" s="1" t="str">
        <f>TEXT(WEEKDAY(DATE(CalendarYear,2,23),1),"aaa")</f>
        <v>zo</v>
      </c>
      <c r="Z5" s="1" t="str">
        <f>TEXT(WEEKDAY(DATE(CalendarYear,2,24),1),"aaa")</f>
        <v>ma</v>
      </c>
      <c r="AA5" s="1" t="str">
        <f>TEXT(WEEKDAY(DATE(CalendarYear,2,25),1),"aaa")</f>
        <v>di</v>
      </c>
      <c r="AB5" s="1" t="str">
        <f>TEXT(WEEKDAY(DATE(CalendarYear,2,26),1),"aaa")</f>
        <v>wo</v>
      </c>
      <c r="AC5" s="1" t="str">
        <f>TEXT(WEEKDAY(DATE(CalendarYear,2,27),1),"aaa")</f>
        <v>do</v>
      </c>
      <c r="AD5" s="1" t="str">
        <f>TEXT(WEEKDAY(DATE(CalendarYear,2,28),1),"aaa")</f>
        <v>vr</v>
      </c>
      <c r="AE5" s="1" t="str">
        <f>TEXT(WEEKDAY(DATE(CalendarYear,2,29),1),"aaa")</f>
        <v>za</v>
      </c>
      <c r="AF5" s="1"/>
      <c r="AG5" s="1"/>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46</v>
      </c>
      <c r="AG6" s="1" t="s">
        <v>47</v>
      </c>
      <c r="AH6" s="12" t="s">
        <v>68</v>
      </c>
    </row>
    <row r="7" spans="2:34" ht="30" customHeight="1" x14ac:dyDescent="0.25">
      <c r="B7" t="s">
        <v>65</v>
      </c>
      <c r="C7" s="1">
        <v>3.5</v>
      </c>
      <c r="D7" s="1">
        <v>3.5</v>
      </c>
      <c r="E7" s="1" t="s">
        <v>4</v>
      </c>
      <c r="F7" s="1" t="s">
        <v>4</v>
      </c>
      <c r="G7" s="1" t="s">
        <v>4</v>
      </c>
      <c r="H7" s="1" t="s">
        <v>4</v>
      </c>
      <c r="I7" s="1" t="s">
        <v>4</v>
      </c>
      <c r="J7" s="1" t="s">
        <v>4</v>
      </c>
      <c r="K7" s="1" t="s">
        <v>4</v>
      </c>
      <c r="L7" s="1" t="s">
        <v>4</v>
      </c>
      <c r="M7" s="1" t="s">
        <v>4</v>
      </c>
      <c r="N7" s="1" t="s">
        <v>4</v>
      </c>
      <c r="O7" s="1" t="s">
        <v>67</v>
      </c>
      <c r="P7" s="1">
        <v>3.5</v>
      </c>
      <c r="Q7" s="1">
        <v>3.5</v>
      </c>
      <c r="R7" s="1">
        <v>3.5</v>
      </c>
      <c r="S7" s="1" t="s">
        <v>4</v>
      </c>
      <c r="T7" s="1" t="s">
        <v>67</v>
      </c>
      <c r="U7" s="1" t="s">
        <v>67</v>
      </c>
      <c r="V7" s="1" t="s">
        <v>67</v>
      </c>
      <c r="W7" s="1">
        <v>3.5</v>
      </c>
      <c r="X7" s="1">
        <v>3.5</v>
      </c>
      <c r="Y7" s="1">
        <v>3.5</v>
      </c>
      <c r="Z7" s="1" t="s">
        <v>4</v>
      </c>
      <c r="AA7" s="1" t="s">
        <v>67</v>
      </c>
      <c r="AB7" s="1" t="s">
        <v>67</v>
      </c>
      <c r="AC7" s="1" t="s">
        <v>67</v>
      </c>
      <c r="AD7" s="1">
        <v>3.5</v>
      </c>
      <c r="AE7" s="1"/>
      <c r="AF7" s="1"/>
      <c r="AG7" s="1"/>
      <c r="AH7" s="7">
        <f>SUM(Februari[[#This Row],[1]:[28]])</f>
        <v>31.5</v>
      </c>
    </row>
    <row r="8" spans="2:34" ht="30" customHeight="1" x14ac:dyDescent="0.25">
      <c r="B8" t="s">
        <v>61</v>
      </c>
      <c r="C8" s="1">
        <v>4</v>
      </c>
      <c r="D8" s="1">
        <v>4</v>
      </c>
      <c r="E8" s="1" t="s">
        <v>4</v>
      </c>
      <c r="F8" s="1" t="s">
        <v>67</v>
      </c>
      <c r="G8" s="1" t="s">
        <v>67</v>
      </c>
      <c r="H8" s="1" t="s">
        <v>67</v>
      </c>
      <c r="I8" s="1" t="s">
        <v>67</v>
      </c>
      <c r="J8" s="1" t="s">
        <v>67</v>
      </c>
      <c r="K8" s="1" t="s">
        <v>67</v>
      </c>
      <c r="L8" s="1" t="s">
        <v>4</v>
      </c>
      <c r="M8" s="1" t="s">
        <v>67</v>
      </c>
      <c r="N8" s="1" t="s">
        <v>67</v>
      </c>
      <c r="O8" s="1" t="s">
        <v>67</v>
      </c>
      <c r="P8" s="1" t="s">
        <v>67</v>
      </c>
      <c r="Q8" s="1" t="s">
        <v>67</v>
      </c>
      <c r="R8" s="1" t="s">
        <v>67</v>
      </c>
      <c r="S8" s="1" t="s">
        <v>4</v>
      </c>
      <c r="T8" s="1" t="s">
        <v>67</v>
      </c>
      <c r="U8" s="1" t="s">
        <v>67</v>
      </c>
      <c r="V8" s="1" t="s">
        <v>67</v>
      </c>
      <c r="W8" s="1" t="s">
        <v>67</v>
      </c>
      <c r="X8" s="1" t="s">
        <v>67</v>
      </c>
      <c r="Y8" s="1" t="s">
        <v>4</v>
      </c>
      <c r="Z8" s="1" t="s">
        <v>4</v>
      </c>
      <c r="AA8" s="1" t="s">
        <v>67</v>
      </c>
      <c r="AB8" s="1" t="s">
        <v>67</v>
      </c>
      <c r="AC8" s="1" t="s">
        <v>67</v>
      </c>
      <c r="AD8" s="1" t="s">
        <v>67</v>
      </c>
      <c r="AE8" s="1"/>
      <c r="AF8" s="1"/>
      <c r="AG8" s="1"/>
      <c r="AH8" s="7">
        <f>SUM(Februari[[#This Row],[1]:[28]])</f>
        <v>8</v>
      </c>
    </row>
    <row r="9" spans="2:34" ht="30" customHeight="1" x14ac:dyDescent="0.25">
      <c r="B9" s="19" t="s">
        <v>74</v>
      </c>
      <c r="C9" s="1" t="s">
        <v>67</v>
      </c>
      <c r="D9" s="1" t="s">
        <v>67</v>
      </c>
      <c r="E9" s="1" t="s">
        <v>4</v>
      </c>
      <c r="F9" s="1" t="s">
        <v>67</v>
      </c>
      <c r="G9" s="1" t="s">
        <v>67</v>
      </c>
      <c r="H9" s="1" t="s">
        <v>67</v>
      </c>
      <c r="I9" s="1" t="s">
        <v>67</v>
      </c>
      <c r="J9" s="1" t="s">
        <v>67</v>
      </c>
      <c r="K9" s="1" t="s">
        <v>67</v>
      </c>
      <c r="L9" s="1" t="s">
        <v>4</v>
      </c>
      <c r="M9" s="1" t="s">
        <v>67</v>
      </c>
      <c r="N9" s="1" t="s">
        <v>67</v>
      </c>
      <c r="O9" s="1" t="s">
        <v>67</v>
      </c>
      <c r="P9" s="1" t="s">
        <v>67</v>
      </c>
      <c r="Q9" s="1" t="s">
        <v>67</v>
      </c>
      <c r="R9" s="1" t="s">
        <v>67</v>
      </c>
      <c r="S9" s="1" t="s">
        <v>4</v>
      </c>
      <c r="T9" s="1" t="s">
        <v>67</v>
      </c>
      <c r="U9" s="1" t="s">
        <v>67</v>
      </c>
      <c r="V9" s="1" t="s">
        <v>67</v>
      </c>
      <c r="W9" s="1" t="s">
        <v>67</v>
      </c>
      <c r="X9" s="1" t="s">
        <v>67</v>
      </c>
      <c r="Y9" s="1" t="s">
        <v>67</v>
      </c>
      <c r="Z9" s="1" t="s">
        <v>4</v>
      </c>
      <c r="AA9" s="1" t="s">
        <v>67</v>
      </c>
      <c r="AB9" s="1" t="s">
        <v>67</v>
      </c>
      <c r="AC9" s="1" t="s">
        <v>67</v>
      </c>
      <c r="AD9" s="1" t="s">
        <v>67</v>
      </c>
      <c r="AE9" s="1"/>
      <c r="AF9" s="1"/>
      <c r="AG9" s="1"/>
      <c r="AH9" s="7">
        <f>SUM(Februari[[#This Row],[1]:[28]])</f>
        <v>0</v>
      </c>
    </row>
    <row r="10" spans="2:34" ht="30" customHeight="1" x14ac:dyDescent="0.25">
      <c r="B10" s="20" t="s">
        <v>76</v>
      </c>
      <c r="C10" s="1">
        <v>5</v>
      </c>
      <c r="D10" s="1">
        <v>5</v>
      </c>
      <c r="E10" s="1" t="s">
        <v>4</v>
      </c>
      <c r="F10" s="1" t="s">
        <v>67</v>
      </c>
      <c r="G10" s="1" t="s">
        <v>67</v>
      </c>
      <c r="H10" s="1">
        <v>5</v>
      </c>
      <c r="I10" s="1">
        <v>5</v>
      </c>
      <c r="J10" s="1">
        <v>5</v>
      </c>
      <c r="K10" s="1">
        <v>5</v>
      </c>
      <c r="L10" s="1" t="s">
        <v>4</v>
      </c>
      <c r="M10" s="1" t="s">
        <v>67</v>
      </c>
      <c r="N10" s="1" t="s">
        <v>67</v>
      </c>
      <c r="O10" s="1" t="s">
        <v>67</v>
      </c>
      <c r="P10" s="1" t="s">
        <v>67</v>
      </c>
      <c r="Q10" s="1">
        <v>5</v>
      </c>
      <c r="R10" s="1">
        <v>5</v>
      </c>
      <c r="S10" s="1" t="s">
        <v>4</v>
      </c>
      <c r="T10" s="1" t="s">
        <v>67</v>
      </c>
      <c r="U10" s="1" t="s">
        <v>67</v>
      </c>
      <c r="V10" s="1" t="s">
        <v>67</v>
      </c>
      <c r="W10" s="1">
        <v>5</v>
      </c>
      <c r="X10" s="1">
        <v>5</v>
      </c>
      <c r="Y10" s="1">
        <v>5</v>
      </c>
      <c r="Z10" s="1" t="s">
        <v>4</v>
      </c>
      <c r="AA10" s="1" t="s">
        <v>67</v>
      </c>
      <c r="AB10" s="1" t="s">
        <v>67</v>
      </c>
      <c r="AC10" s="1" t="s">
        <v>67</v>
      </c>
      <c r="AD10" s="1">
        <v>5</v>
      </c>
      <c r="AE10" s="1"/>
      <c r="AF10" s="1"/>
      <c r="AG10" s="1"/>
      <c r="AH10" s="7">
        <f>SUM(Februari[[#This Row],[1]:[28]])</f>
        <v>60</v>
      </c>
    </row>
    <row r="11" spans="2:34" ht="30" customHeight="1" x14ac:dyDescent="0.25">
      <c r="B11" t="s">
        <v>64</v>
      </c>
      <c r="C11" s="1" t="s">
        <v>4</v>
      </c>
      <c r="D11" s="1" t="s">
        <v>4</v>
      </c>
      <c r="E11" s="1" t="s">
        <v>4</v>
      </c>
      <c r="F11" s="1" t="s">
        <v>4</v>
      </c>
      <c r="G11" s="1" t="s">
        <v>4</v>
      </c>
      <c r="H11" s="1" t="s">
        <v>4</v>
      </c>
      <c r="I11" s="1" t="s">
        <v>4</v>
      </c>
      <c r="J11" s="1" t="s">
        <v>4</v>
      </c>
      <c r="K11" s="1" t="s">
        <v>4</v>
      </c>
      <c r="L11" s="1" t="s">
        <v>4</v>
      </c>
      <c r="M11" s="1" t="s">
        <v>4</v>
      </c>
      <c r="N11" s="1" t="s">
        <v>4</v>
      </c>
      <c r="O11" s="1" t="s">
        <v>4</v>
      </c>
      <c r="P11" s="1" t="s">
        <v>4</v>
      </c>
      <c r="Q11" s="1" t="s">
        <v>4</v>
      </c>
      <c r="R11" s="1" t="s">
        <v>4</v>
      </c>
      <c r="S11" s="1" t="s">
        <v>4</v>
      </c>
      <c r="T11" s="1" t="s">
        <v>4</v>
      </c>
      <c r="U11" s="1" t="s">
        <v>4</v>
      </c>
      <c r="V11" s="1" t="s">
        <v>4</v>
      </c>
      <c r="W11" s="1" t="s">
        <v>4</v>
      </c>
      <c r="X11" s="1" t="s">
        <v>4</v>
      </c>
      <c r="Y11" s="1" t="s">
        <v>4</v>
      </c>
      <c r="Z11" s="1" t="s">
        <v>4</v>
      </c>
      <c r="AA11" s="1" t="s">
        <v>67</v>
      </c>
      <c r="AB11" s="1" t="s">
        <v>67</v>
      </c>
      <c r="AC11" s="1" t="s">
        <v>67</v>
      </c>
      <c r="AD11" s="1" t="s">
        <v>67</v>
      </c>
      <c r="AE11" s="1"/>
      <c r="AF11" s="1"/>
      <c r="AG11" s="1"/>
      <c r="AH11" s="7">
        <f>SUM(Februari[[#This Row],[1]:[28]])</f>
        <v>0</v>
      </c>
    </row>
    <row r="12" spans="2:34" ht="30" customHeight="1" x14ac:dyDescent="0.25">
      <c r="B12" t="s">
        <v>71</v>
      </c>
      <c r="C12" s="1">
        <v>4</v>
      </c>
      <c r="D12" s="1">
        <v>4</v>
      </c>
      <c r="E12" s="1" t="s">
        <v>4</v>
      </c>
      <c r="F12" s="1" t="s">
        <v>67</v>
      </c>
      <c r="G12" s="1" t="s">
        <v>67</v>
      </c>
      <c r="H12" s="1" t="s">
        <v>67</v>
      </c>
      <c r="I12" s="1" t="s">
        <v>67</v>
      </c>
      <c r="J12" s="1">
        <v>4</v>
      </c>
      <c r="K12" s="1">
        <v>4</v>
      </c>
      <c r="L12" s="1" t="s">
        <v>4</v>
      </c>
      <c r="M12" s="1" t="s">
        <v>67</v>
      </c>
      <c r="N12" s="1" t="s">
        <v>67</v>
      </c>
      <c r="O12" s="1" t="s">
        <v>67</v>
      </c>
      <c r="P12" s="1" t="s">
        <v>67</v>
      </c>
      <c r="Q12" s="1">
        <v>4</v>
      </c>
      <c r="R12" s="1">
        <v>4</v>
      </c>
      <c r="S12" s="1" t="s">
        <v>4</v>
      </c>
      <c r="T12" s="1" t="s">
        <v>67</v>
      </c>
      <c r="U12" s="1" t="s">
        <v>67</v>
      </c>
      <c r="V12" s="1" t="s">
        <v>67</v>
      </c>
      <c r="W12" s="1">
        <v>4</v>
      </c>
      <c r="X12" s="1">
        <v>4</v>
      </c>
      <c r="Y12" s="1">
        <v>4</v>
      </c>
      <c r="Z12" s="1" t="s">
        <v>4</v>
      </c>
      <c r="AA12" s="1" t="s">
        <v>67</v>
      </c>
      <c r="AB12" s="1" t="s">
        <v>67</v>
      </c>
      <c r="AC12" s="1" t="s">
        <v>67</v>
      </c>
      <c r="AD12" s="1">
        <v>4</v>
      </c>
      <c r="AE12" s="1"/>
      <c r="AF12" s="1"/>
      <c r="AG12" s="1"/>
      <c r="AH12" s="7">
        <f>SUM(Februari[[#This Row],[1]:[28]])</f>
        <v>40</v>
      </c>
    </row>
    <row r="13" spans="2:34" ht="30" customHeight="1" x14ac:dyDescent="0.25">
      <c r="B13" t="s">
        <v>70</v>
      </c>
      <c r="C13" s="1">
        <v>4</v>
      </c>
      <c r="D13" s="1">
        <v>4</v>
      </c>
      <c r="E13" s="1" t="s">
        <v>4</v>
      </c>
      <c r="F13" s="1" t="s">
        <v>67</v>
      </c>
      <c r="G13" s="1" t="s">
        <v>67</v>
      </c>
      <c r="H13" s="1" t="s">
        <v>67</v>
      </c>
      <c r="I13" s="1">
        <v>4</v>
      </c>
      <c r="J13" s="1">
        <v>4</v>
      </c>
      <c r="K13" s="1">
        <v>4</v>
      </c>
      <c r="L13" s="1" t="s">
        <v>4</v>
      </c>
      <c r="M13" s="1" t="s">
        <v>67</v>
      </c>
      <c r="N13" s="1" t="s">
        <v>67</v>
      </c>
      <c r="O13" s="1" t="s">
        <v>67</v>
      </c>
      <c r="P13" s="1">
        <v>4</v>
      </c>
      <c r="Q13" s="1">
        <v>4</v>
      </c>
      <c r="R13" s="1">
        <v>4</v>
      </c>
      <c r="S13" s="1" t="s">
        <v>4</v>
      </c>
      <c r="T13" s="1" t="s">
        <v>67</v>
      </c>
      <c r="U13" s="1" t="s">
        <v>67</v>
      </c>
      <c r="V13" s="1" t="s">
        <v>67</v>
      </c>
      <c r="W13" s="1">
        <v>4</v>
      </c>
      <c r="X13" s="1">
        <v>4</v>
      </c>
      <c r="Y13" s="1">
        <v>4</v>
      </c>
      <c r="Z13" s="1" t="s">
        <v>4</v>
      </c>
      <c r="AA13" s="1" t="s">
        <v>67</v>
      </c>
      <c r="AB13" s="1" t="s">
        <v>67</v>
      </c>
      <c r="AC13" s="1" t="s">
        <v>67</v>
      </c>
      <c r="AD13" s="1">
        <v>4</v>
      </c>
      <c r="AE13" s="1"/>
      <c r="AF13" s="1"/>
      <c r="AG13" s="1"/>
      <c r="AH13" s="7">
        <f>SUM(Februari[[#This Row],[1]:[28]])</f>
        <v>48</v>
      </c>
    </row>
    <row r="14" spans="2:34" ht="30" customHeight="1" x14ac:dyDescent="0.25">
      <c r="B14" t="s">
        <v>63</v>
      </c>
      <c r="C14" s="1" t="s">
        <v>67</v>
      </c>
      <c r="D14" s="1" t="s">
        <v>67</v>
      </c>
      <c r="E14" s="1" t="s">
        <v>4</v>
      </c>
      <c r="F14" s="1" t="s">
        <v>67</v>
      </c>
      <c r="G14" s="1" t="s">
        <v>67</v>
      </c>
      <c r="H14" s="1" t="s">
        <v>67</v>
      </c>
      <c r="I14" s="1" t="s">
        <v>67</v>
      </c>
      <c r="J14" s="1" t="s">
        <v>67</v>
      </c>
      <c r="K14" s="1" t="s">
        <v>67</v>
      </c>
      <c r="L14" s="1" t="s">
        <v>4</v>
      </c>
      <c r="M14" s="1" t="s">
        <v>67</v>
      </c>
      <c r="N14" s="1" t="s">
        <v>67</v>
      </c>
      <c r="O14" s="1" t="s">
        <v>67</v>
      </c>
      <c r="P14" s="1" t="s">
        <v>67</v>
      </c>
      <c r="Q14" s="1" t="s">
        <v>67</v>
      </c>
      <c r="R14" s="1" t="s">
        <v>67</v>
      </c>
      <c r="S14" s="1" t="s">
        <v>4</v>
      </c>
      <c r="T14" s="1" t="s">
        <v>67</v>
      </c>
      <c r="U14" s="1" t="s">
        <v>67</v>
      </c>
      <c r="V14" s="1" t="s">
        <v>67</v>
      </c>
      <c r="W14" s="1" t="s">
        <v>67</v>
      </c>
      <c r="X14" s="1" t="s">
        <v>67</v>
      </c>
      <c r="Y14" s="1" t="s">
        <v>67</v>
      </c>
      <c r="Z14" s="1" t="s">
        <v>4</v>
      </c>
      <c r="AA14" s="1" t="s">
        <v>67</v>
      </c>
      <c r="AB14" s="1" t="s">
        <v>67</v>
      </c>
      <c r="AC14" s="1" t="s">
        <v>67</v>
      </c>
      <c r="AD14" s="1" t="s">
        <v>67</v>
      </c>
      <c r="AE14" s="1"/>
      <c r="AF14" s="1"/>
      <c r="AG14" s="1"/>
      <c r="AH14" s="7">
        <f>SUM(Februari[[#This Row],[1]:[28]])</f>
        <v>0</v>
      </c>
    </row>
    <row r="15" spans="2:34" ht="30" customHeight="1" x14ac:dyDescent="0.25">
      <c r="B15" t="s">
        <v>60</v>
      </c>
      <c r="C15" s="1" t="s">
        <v>67</v>
      </c>
      <c r="D15" s="1" t="s">
        <v>67</v>
      </c>
      <c r="E15" s="1" t="s">
        <v>4</v>
      </c>
      <c r="F15" s="1" t="s">
        <v>67</v>
      </c>
      <c r="G15" s="1" t="s">
        <v>67</v>
      </c>
      <c r="H15" s="1" t="s">
        <v>67</v>
      </c>
      <c r="I15" s="1" t="s">
        <v>67</v>
      </c>
      <c r="J15" s="1" t="s">
        <v>67</v>
      </c>
      <c r="K15" s="1" t="s">
        <v>67</v>
      </c>
      <c r="L15" s="1" t="s">
        <v>4</v>
      </c>
      <c r="M15" s="1" t="s">
        <v>67</v>
      </c>
      <c r="N15" s="1" t="s">
        <v>67</v>
      </c>
      <c r="O15" s="1" t="s">
        <v>67</v>
      </c>
      <c r="P15" s="1" t="s">
        <v>67</v>
      </c>
      <c r="Q15" s="1" t="s">
        <v>67</v>
      </c>
      <c r="R15" s="1" t="s">
        <v>67</v>
      </c>
      <c r="S15" s="1" t="s">
        <v>4</v>
      </c>
      <c r="T15" s="1" t="s">
        <v>67</v>
      </c>
      <c r="U15" s="1" t="s">
        <v>67</v>
      </c>
      <c r="V15" s="1" t="s">
        <v>67</v>
      </c>
      <c r="W15" s="1" t="s">
        <v>67</v>
      </c>
      <c r="X15" s="1" t="s">
        <v>67</v>
      </c>
      <c r="Y15" s="1" t="s">
        <v>67</v>
      </c>
      <c r="Z15" s="1" t="s">
        <v>4</v>
      </c>
      <c r="AA15" s="1" t="s">
        <v>67</v>
      </c>
      <c r="AB15" s="1" t="s">
        <v>67</v>
      </c>
      <c r="AC15" s="1" t="s">
        <v>67</v>
      </c>
      <c r="AD15" s="1" t="s">
        <v>67</v>
      </c>
      <c r="AE15" s="1"/>
      <c r="AF15" s="1"/>
      <c r="AG15" s="1"/>
      <c r="AH15" s="7">
        <f>SUM(Februari[[#This Row],[1]:[28]])</f>
        <v>0</v>
      </c>
    </row>
    <row r="16" spans="2:34" ht="30" customHeight="1" x14ac:dyDescent="0.25">
      <c r="B16" t="s">
        <v>62</v>
      </c>
      <c r="C16" s="1">
        <v>3.5</v>
      </c>
      <c r="D16" s="1">
        <v>3.5</v>
      </c>
      <c r="E16" s="1" t="s">
        <v>4</v>
      </c>
      <c r="F16" s="1" t="s">
        <v>67</v>
      </c>
      <c r="G16" s="1" t="s">
        <v>67</v>
      </c>
      <c r="H16" s="1" t="s">
        <v>67</v>
      </c>
      <c r="I16" s="1" t="s">
        <v>67</v>
      </c>
      <c r="J16" s="1">
        <v>4</v>
      </c>
      <c r="K16" s="1">
        <v>3.5</v>
      </c>
      <c r="L16" s="1" t="s">
        <v>4</v>
      </c>
      <c r="M16" s="1" t="s">
        <v>67</v>
      </c>
      <c r="N16" s="1" t="s">
        <v>67</v>
      </c>
      <c r="O16" s="1" t="s">
        <v>67</v>
      </c>
      <c r="P16" s="1" t="s">
        <v>67</v>
      </c>
      <c r="Q16" s="1" t="s">
        <v>67</v>
      </c>
      <c r="R16" s="1" t="s">
        <v>67</v>
      </c>
      <c r="S16" s="1" t="s">
        <v>4</v>
      </c>
      <c r="T16" s="1" t="s">
        <v>67</v>
      </c>
      <c r="U16" s="1" t="s">
        <v>67</v>
      </c>
      <c r="V16" s="1" t="s">
        <v>67</v>
      </c>
      <c r="W16" s="1" t="s">
        <v>67</v>
      </c>
      <c r="X16" s="1" t="s">
        <v>67</v>
      </c>
      <c r="Y16" s="1" t="s">
        <v>67</v>
      </c>
      <c r="Z16" s="1" t="s">
        <v>4</v>
      </c>
      <c r="AA16" s="1" t="s">
        <v>67</v>
      </c>
      <c r="AB16" s="1" t="s">
        <v>67</v>
      </c>
      <c r="AC16" s="1" t="s">
        <v>67</v>
      </c>
      <c r="AD16" s="1" t="s">
        <v>67</v>
      </c>
      <c r="AE16" s="1"/>
      <c r="AF16" s="1"/>
      <c r="AG16" s="1"/>
      <c r="AH16" s="7">
        <f>SUM(Februari[[#This Row],[1]:[28]])</f>
        <v>14.5</v>
      </c>
    </row>
    <row r="17" spans="2:34" ht="30" customHeight="1" x14ac:dyDescent="0.25">
      <c r="B17" s="19" t="s">
        <v>75</v>
      </c>
      <c r="C17" s="1">
        <v>5</v>
      </c>
      <c r="D17" s="1">
        <v>5</v>
      </c>
      <c r="E17" s="1" t="s">
        <v>4</v>
      </c>
      <c r="F17" s="1" t="s">
        <v>67</v>
      </c>
      <c r="G17" s="1" t="s">
        <v>67</v>
      </c>
      <c r="H17" s="1" t="s">
        <v>67</v>
      </c>
      <c r="I17" s="1">
        <v>5</v>
      </c>
      <c r="J17" s="1">
        <v>5</v>
      </c>
      <c r="K17" s="1">
        <v>5</v>
      </c>
      <c r="L17" s="1" t="s">
        <v>4</v>
      </c>
      <c r="M17" s="1" t="s">
        <v>67</v>
      </c>
      <c r="N17" s="1" t="s">
        <v>67</v>
      </c>
      <c r="O17" s="1" t="s">
        <v>67</v>
      </c>
      <c r="P17" s="1">
        <v>5</v>
      </c>
      <c r="Q17" s="1">
        <v>5</v>
      </c>
      <c r="R17" s="1">
        <v>5</v>
      </c>
      <c r="S17" s="1" t="s">
        <v>4</v>
      </c>
      <c r="T17" s="1" t="s">
        <v>67</v>
      </c>
      <c r="U17" s="1" t="s">
        <v>67</v>
      </c>
      <c r="V17" s="1">
        <v>5</v>
      </c>
      <c r="W17" s="1">
        <v>5</v>
      </c>
      <c r="X17" s="1">
        <v>5</v>
      </c>
      <c r="Y17" s="1">
        <v>5</v>
      </c>
      <c r="Z17" s="1" t="s">
        <v>4</v>
      </c>
      <c r="AA17" s="1" t="s">
        <v>67</v>
      </c>
      <c r="AB17" s="1" t="s">
        <v>67</v>
      </c>
      <c r="AC17" s="1" t="s">
        <v>67</v>
      </c>
      <c r="AD17" s="1" t="s">
        <v>67</v>
      </c>
      <c r="AE17" s="1"/>
      <c r="AF17" s="1"/>
      <c r="AG17" s="1"/>
      <c r="AH17" s="7">
        <f>SUM(Februari[[#This Row],[1]:[28]])</f>
        <v>60</v>
      </c>
    </row>
    <row r="18" spans="2:34" ht="30" customHeight="1" x14ac:dyDescent="0.25">
      <c r="B18" t="s">
        <v>69</v>
      </c>
      <c r="C18" s="1">
        <v>3.5</v>
      </c>
      <c r="D18" s="1">
        <v>3.5</v>
      </c>
      <c r="E18" s="1" t="s">
        <v>4</v>
      </c>
      <c r="F18" s="1" t="s">
        <v>67</v>
      </c>
      <c r="G18" s="1" t="s">
        <v>67</v>
      </c>
      <c r="H18" s="1" t="s">
        <v>67</v>
      </c>
      <c r="I18" s="1">
        <v>3.5</v>
      </c>
      <c r="J18" s="1">
        <v>3.5</v>
      </c>
      <c r="K18" s="1">
        <v>3.5</v>
      </c>
      <c r="L18" s="1" t="s">
        <v>4</v>
      </c>
      <c r="M18" s="1" t="s">
        <v>67</v>
      </c>
      <c r="N18" s="1" t="s">
        <v>67</v>
      </c>
      <c r="O18" s="1" t="s">
        <v>67</v>
      </c>
      <c r="P18" s="1" t="s">
        <v>67</v>
      </c>
      <c r="Q18" s="1" t="s">
        <v>4</v>
      </c>
      <c r="R18" s="1">
        <v>3.5</v>
      </c>
      <c r="S18" s="1" t="s">
        <v>4</v>
      </c>
      <c r="T18" s="1" t="s">
        <v>67</v>
      </c>
      <c r="U18" s="1" t="s">
        <v>67</v>
      </c>
      <c r="V18" s="1" t="s">
        <v>67</v>
      </c>
      <c r="W18" s="1" t="s">
        <v>4</v>
      </c>
      <c r="X18" s="1" t="s">
        <v>4</v>
      </c>
      <c r="Y18" s="1" t="s">
        <v>4</v>
      </c>
      <c r="Z18" s="1" t="s">
        <v>4</v>
      </c>
      <c r="AA18" s="1" t="s">
        <v>67</v>
      </c>
      <c r="AB18" s="1" t="s">
        <v>67</v>
      </c>
      <c r="AC18" s="1" t="s">
        <v>67</v>
      </c>
      <c r="AD18" s="1" t="s">
        <v>67</v>
      </c>
      <c r="AE18" s="1"/>
      <c r="AF18" s="1"/>
      <c r="AG18" s="1"/>
      <c r="AH18" s="7">
        <f>SUM(Februari[[#This Row],[1]:[28]])</f>
        <v>21</v>
      </c>
    </row>
    <row r="19" spans="2:34" ht="30" customHeight="1" x14ac:dyDescent="0.25">
      <c r="B19" s="16" t="str">
        <f>MonthName&amp;" Totaal"</f>
        <v>Februari Totaal</v>
      </c>
      <c r="C19" s="9">
        <f>SUBTOTAL(109,Februari[1])</f>
        <v>32.5</v>
      </c>
      <c r="D19" s="9">
        <f>SUBTOTAL(109,Februari[2])</f>
        <v>32.5</v>
      </c>
      <c r="E19" s="9">
        <f>SUBTOTAL(109,Februari[3])</f>
        <v>0</v>
      </c>
      <c r="F19" s="9">
        <f>SUBTOTAL(109,Februari[4])</f>
        <v>0</v>
      </c>
      <c r="G19" s="9">
        <f>SUBTOTAL(109,Februari[5])</f>
        <v>0</v>
      </c>
      <c r="H19" s="9">
        <f>SUBTOTAL(109,Februari[6])</f>
        <v>5</v>
      </c>
      <c r="I19" s="9">
        <f>SUBTOTAL(109,Februari[7])</f>
        <v>17.5</v>
      </c>
      <c r="J19" s="9">
        <f>SUBTOTAL(109,Februari[8])</f>
        <v>25.5</v>
      </c>
      <c r="K19" s="9">
        <f>SUBTOTAL(109,Februari[9])</f>
        <v>25</v>
      </c>
      <c r="L19" s="9">
        <f>SUBTOTAL(109,Februari[10])</f>
        <v>0</v>
      </c>
      <c r="M19" s="9">
        <f>SUBTOTAL(109,Februari[11])</f>
        <v>0</v>
      </c>
      <c r="N19" s="9">
        <f>SUBTOTAL(109,Februari[12])</f>
        <v>0</v>
      </c>
      <c r="O19" s="9">
        <f>SUBTOTAL(109,Februari[13])</f>
        <v>0</v>
      </c>
      <c r="P19" s="9">
        <f>SUBTOTAL(109,Februari[14])</f>
        <v>12.5</v>
      </c>
      <c r="Q19" s="9">
        <f>SUBTOTAL(109,Februari[15])</f>
        <v>21.5</v>
      </c>
      <c r="R19" s="9">
        <f>SUBTOTAL(109,Februari[16])</f>
        <v>25</v>
      </c>
      <c r="S19" s="9">
        <f>SUBTOTAL(109,Februari[17])</f>
        <v>0</v>
      </c>
      <c r="T19" s="9">
        <f>SUBTOTAL(109,Februari[18])</f>
        <v>0</v>
      </c>
      <c r="U19" s="9">
        <f>SUBTOTAL(109,Februari[19])</f>
        <v>0</v>
      </c>
      <c r="V19" s="9">
        <f>SUBTOTAL(109,Februari[20])</f>
        <v>5</v>
      </c>
      <c r="W19" s="9">
        <f>SUBTOTAL(109,Februari[21])</f>
        <v>21.5</v>
      </c>
      <c r="X19" s="9">
        <f>SUBTOTAL(109,Februari[22])</f>
        <v>21.5</v>
      </c>
      <c r="Y19" s="9">
        <f>SUBTOTAL(109,Februari[23])</f>
        <v>21.5</v>
      </c>
      <c r="Z19" s="9">
        <f>SUBTOTAL(109,Februari[24])</f>
        <v>0</v>
      </c>
      <c r="AA19" s="9">
        <f>SUBTOTAL(109,Februari[25])</f>
        <v>0</v>
      </c>
      <c r="AB19" s="9">
        <f>SUBTOTAL(109,Februari[26])</f>
        <v>0</v>
      </c>
      <c r="AC19" s="9">
        <f>SUBTOTAL(109,Februari[27])</f>
        <v>0</v>
      </c>
      <c r="AD19" s="9">
        <f>SUBTOTAL(109,Februari[28])</f>
        <v>16.5</v>
      </c>
      <c r="AE19" s="9">
        <f>SUBTOTAL(109,Februari[29])</f>
        <v>0</v>
      </c>
      <c r="AF19" s="9">
        <f>SUBTOTAL(109,Februari[[ ]])</f>
        <v>0</v>
      </c>
      <c r="AG19" s="9"/>
      <c r="AH19" s="9">
        <f>SUBTOTAL(109,Februari[Totaal aantal uren])</f>
        <v>283</v>
      </c>
    </row>
  </sheetData>
  <mergeCells count="6">
    <mergeCell ref="C4:AG4"/>
    <mergeCell ref="D2:F2"/>
    <mergeCell ref="H2:J2"/>
    <mergeCell ref="L2:M2"/>
    <mergeCell ref="O2:Q2"/>
    <mergeCell ref="S2:U2"/>
  </mergeCells>
  <conditionalFormatting sqref="F7:N7 E7:E18 I9:K9 F9:H18 I14:K16">
    <cfRule type="expression" dxfId="669" priority="32" stopIfTrue="1">
      <formula>E7=KeyCustom2</formula>
    </cfRule>
    <cfRule type="expression" dxfId="668" priority="34" stopIfTrue="1">
      <formula>E7=KeySick</formula>
    </cfRule>
    <cfRule type="expression" priority="31" stopIfTrue="1">
      <formula>E7=""</formula>
    </cfRule>
    <cfRule type="expression" dxfId="667" priority="33" stopIfTrue="1">
      <formula>E7=KeyCustom1</formula>
    </cfRule>
    <cfRule type="expression" dxfId="666" priority="36" stopIfTrue="1">
      <formula>E7=KeyVacation</formula>
    </cfRule>
    <cfRule type="expression" dxfId="665" priority="35" stopIfTrue="1">
      <formula>E7=KeyPersonal</formula>
    </cfRule>
  </conditionalFormatting>
  <conditionalFormatting sqref="K8 K10 K12:K13">
    <cfRule type="expression" dxfId="664" priority="92" stopIfTrue="1">
      <formula>K8=KeyCustom2</formula>
    </cfRule>
    <cfRule type="expression" dxfId="663" priority="96" stopIfTrue="1">
      <formula>K8=KeyVacation</formula>
    </cfRule>
    <cfRule type="expression" priority="91" stopIfTrue="1">
      <formula>K8=""</formula>
    </cfRule>
    <cfRule type="expression" dxfId="662" priority="93" stopIfTrue="1">
      <formula>K8=KeyCustom1</formula>
    </cfRule>
    <cfRule type="expression" dxfId="661" priority="94" stopIfTrue="1">
      <formula>K8=KeySick</formula>
    </cfRule>
    <cfRule type="expression" dxfId="660" priority="95" stopIfTrue="1">
      <formula>K8=KeyPersonal</formula>
    </cfRule>
  </conditionalFormatting>
  <conditionalFormatting sqref="K17:K18">
    <cfRule type="expression" dxfId="659" priority="143" stopIfTrue="1">
      <formula>K17=KeySick</formula>
    </cfRule>
    <cfRule type="expression" dxfId="658" priority="142" stopIfTrue="1">
      <formula>K17=KeyCustom1</formula>
    </cfRule>
    <cfRule type="expression" priority="140" stopIfTrue="1">
      <formula>K17=""</formula>
    </cfRule>
    <cfRule type="expression" dxfId="657" priority="141" stopIfTrue="1">
      <formula>K17=KeyCustom2</formula>
    </cfRule>
    <cfRule type="expression" dxfId="656" priority="145" stopIfTrue="1">
      <formula>K17=KeyVacation</formula>
    </cfRule>
    <cfRule type="expression" dxfId="655" priority="144" stopIfTrue="1">
      <formula>K17=KeyPersonal</formula>
    </cfRule>
  </conditionalFormatting>
  <conditionalFormatting sqref="L8:L10 L12:L18">
    <cfRule type="expression" dxfId="654" priority="27" stopIfTrue="1">
      <formula>L8=KeyCustom1</formula>
    </cfRule>
    <cfRule type="expression" priority="25" stopIfTrue="1">
      <formula>L8=""</formula>
    </cfRule>
    <cfRule type="expression" dxfId="653" priority="26" stopIfTrue="1">
      <formula>L8=KeyCustom2</formula>
    </cfRule>
    <cfRule type="expression" dxfId="652" priority="28" stopIfTrue="1">
      <formula>L8=KeySick</formula>
    </cfRule>
    <cfRule type="expression" dxfId="651" priority="29" stopIfTrue="1">
      <formula>L8=KeyPersonal</formula>
    </cfRule>
    <cfRule type="expression" dxfId="650" priority="30" stopIfTrue="1">
      <formula>L8=KeyVacation</formula>
    </cfRule>
  </conditionalFormatting>
  <conditionalFormatting sqref="O7:Q7">
    <cfRule type="expression" dxfId="649" priority="60" stopIfTrue="1">
      <formula>O7=KeyVacation</formula>
    </cfRule>
    <cfRule type="expression" dxfId="648" priority="59" stopIfTrue="1">
      <formula>O7=KeyPersonal</formula>
    </cfRule>
    <cfRule type="expression" dxfId="647" priority="58" stopIfTrue="1">
      <formula>O7=KeySick</formula>
    </cfRule>
    <cfRule type="expression" dxfId="646" priority="57" stopIfTrue="1">
      <formula>O7=KeyCustom1</formula>
    </cfRule>
    <cfRule type="expression" dxfId="645" priority="56" stopIfTrue="1">
      <formula>O7=KeyCustom2</formula>
    </cfRule>
    <cfRule type="expression" priority="55" stopIfTrue="1">
      <formula>O7=""</formula>
    </cfRule>
  </conditionalFormatting>
  <conditionalFormatting sqref="R7 R10 R12:R13 R17:R18">
    <cfRule type="expression" dxfId="644" priority="90" stopIfTrue="1">
      <formula>R7=KeyVacation</formula>
    </cfRule>
    <cfRule type="expression" dxfId="643" priority="89" stopIfTrue="1">
      <formula>R7=KeyPersonal</formula>
    </cfRule>
    <cfRule type="expression" dxfId="642" priority="88" stopIfTrue="1">
      <formula>R7=KeySick</formula>
    </cfRule>
    <cfRule type="expression" dxfId="641" priority="86" stopIfTrue="1">
      <formula>R7=KeyCustom2</formula>
    </cfRule>
    <cfRule type="expression" priority="85" stopIfTrue="1">
      <formula>R7=""</formula>
    </cfRule>
    <cfRule type="expression" dxfId="640" priority="87" stopIfTrue="1">
      <formula>R7=KeyCustom1</formula>
    </cfRule>
  </conditionalFormatting>
  <conditionalFormatting sqref="S7:S10 S12:S18">
    <cfRule type="expression" dxfId="639" priority="23" stopIfTrue="1">
      <formula>S7=KeyPersonal</formula>
    </cfRule>
    <cfRule type="expression" dxfId="638" priority="24" stopIfTrue="1">
      <formula>S7=KeyVacation</formula>
    </cfRule>
    <cfRule type="expression" dxfId="637" priority="22" stopIfTrue="1">
      <formula>S7=KeySick</formula>
    </cfRule>
    <cfRule type="expression" dxfId="636" priority="21" stopIfTrue="1">
      <formula>S7=KeyCustom1</formula>
    </cfRule>
    <cfRule type="expression" dxfId="635" priority="20" stopIfTrue="1">
      <formula>S7=KeyCustom2</formula>
    </cfRule>
    <cfRule type="expression" priority="19" stopIfTrue="1">
      <formula>S7=""</formula>
    </cfRule>
  </conditionalFormatting>
  <conditionalFormatting sqref="T7">
    <cfRule type="expression" priority="103" stopIfTrue="1">
      <formula>T7=""</formula>
    </cfRule>
    <cfRule type="expression" dxfId="634" priority="105" stopIfTrue="1">
      <formula>T7=KeyCustom1</formula>
    </cfRule>
    <cfRule type="expression" dxfId="633" priority="106" stopIfTrue="1">
      <formula>T7=KeySick</formula>
    </cfRule>
    <cfRule type="expression" dxfId="632" priority="107" stopIfTrue="1">
      <formula>T7=KeyPersonal</formula>
    </cfRule>
    <cfRule type="expression" dxfId="631" priority="108" stopIfTrue="1">
      <formula>T7=KeyVacation</formula>
    </cfRule>
    <cfRule type="expression" dxfId="630" priority="104" stopIfTrue="1">
      <formula>T7=KeyCustom2</formula>
    </cfRule>
  </conditionalFormatting>
  <conditionalFormatting sqref="T8:V10 W9:Y9 T12:V18 W14:Y16">
    <cfRule type="expression" dxfId="629" priority="9" stopIfTrue="1">
      <formula>T8=KeyCustom1</formula>
    </cfRule>
    <cfRule type="expression" priority="7" stopIfTrue="1">
      <formula>T8=""</formula>
    </cfRule>
    <cfRule type="expression" dxfId="628" priority="8" stopIfTrue="1">
      <formula>T8=KeyCustom2</formula>
    </cfRule>
    <cfRule type="expression" dxfId="627" priority="10" stopIfTrue="1">
      <formula>T8=KeySick</formula>
    </cfRule>
    <cfRule type="expression" dxfId="626" priority="11" stopIfTrue="1">
      <formula>T8=KeyPersonal</formula>
    </cfRule>
    <cfRule type="expression" dxfId="625" priority="12" stopIfTrue="1">
      <formula>T8=KeyVacation</formula>
    </cfRule>
  </conditionalFormatting>
  <conditionalFormatting sqref="U7 AB7:AE7 AD8:AE15 AD16:AG16 AD17:AE18">
    <cfRule type="expression" dxfId="624" priority="150" stopIfTrue="1">
      <formula>U7=KeyPersonal</formula>
    </cfRule>
    <cfRule type="expression" dxfId="623" priority="149" stopIfTrue="1">
      <formula>U7=KeySick</formula>
    </cfRule>
    <cfRule type="expression" dxfId="622" priority="148" stopIfTrue="1">
      <formula>U7=KeyCustom1</formula>
    </cfRule>
    <cfRule type="expression" priority="146" stopIfTrue="1">
      <formula>U7=""</formula>
    </cfRule>
    <cfRule type="expression" dxfId="621" priority="147" stopIfTrue="1">
      <formula>U7=KeyCustom2</formula>
    </cfRule>
    <cfRule type="expression" dxfId="620" priority="151" stopIfTrue="1">
      <formula>U7=KeyVacation</formula>
    </cfRule>
  </conditionalFormatting>
  <conditionalFormatting sqref="V7:X7 W8:X8 W10:X10 W12:X13 W17:X17 W18:Y18">
    <cfRule type="expression" dxfId="619" priority="52" stopIfTrue="1">
      <formula>V7=KeySick</formula>
    </cfRule>
    <cfRule type="expression" dxfId="618" priority="54" stopIfTrue="1">
      <formula>V7=KeyVacation</formula>
    </cfRule>
    <cfRule type="expression" dxfId="617" priority="53" stopIfTrue="1">
      <formula>V7=KeyPersonal</formula>
    </cfRule>
    <cfRule type="expression" dxfId="616" priority="51" stopIfTrue="1">
      <formula>V7=KeyCustom1</formula>
    </cfRule>
    <cfRule type="expression" dxfId="615" priority="50" stopIfTrue="1">
      <formula>V7=KeyCustom2</formula>
    </cfRule>
    <cfRule type="expression" priority="49" stopIfTrue="1">
      <formula>V7=""</formula>
    </cfRule>
  </conditionalFormatting>
  <conditionalFormatting sqref="Y7:Y8 Y10 Y12:Y13">
    <cfRule type="expression" dxfId="614" priority="84" stopIfTrue="1">
      <formula>Y7=KeyVacation</formula>
    </cfRule>
    <cfRule type="expression" dxfId="613" priority="83" stopIfTrue="1">
      <formula>Y7=KeyPersonal</formula>
    </cfRule>
    <cfRule type="expression" dxfId="612" priority="82" stopIfTrue="1">
      <formula>Y7=KeySick</formula>
    </cfRule>
    <cfRule type="expression" dxfId="611" priority="81" stopIfTrue="1">
      <formula>Y7=KeyCustom1</formula>
    </cfRule>
    <cfRule type="expression" dxfId="610" priority="80" stopIfTrue="1">
      <formula>Y7=KeyCustom2</formula>
    </cfRule>
    <cfRule type="expression" priority="79" stopIfTrue="1">
      <formula>Y7=""</formula>
    </cfRule>
  </conditionalFormatting>
  <conditionalFormatting sqref="Y17">
    <cfRule type="expression" dxfId="609" priority="133" stopIfTrue="1">
      <formula>Y17=KeyVacation</formula>
    </cfRule>
    <cfRule type="expression" dxfId="608" priority="132" stopIfTrue="1">
      <formula>Y17=KeyPersonal</formula>
    </cfRule>
    <cfRule type="expression" dxfId="607" priority="131" stopIfTrue="1">
      <formula>Y17=KeySick</formula>
    </cfRule>
    <cfRule type="expression" dxfId="606" priority="130" stopIfTrue="1">
      <formula>Y17=KeyCustom1</formula>
    </cfRule>
    <cfRule type="expression" dxfId="605" priority="129" stopIfTrue="1">
      <formula>Y17=KeyCustom2</formula>
    </cfRule>
    <cfRule type="expression" priority="128" stopIfTrue="1">
      <formula>Y17=""</formula>
    </cfRule>
  </conditionalFormatting>
  <conditionalFormatting sqref="Z7:Z18">
    <cfRule type="expression" dxfId="604" priority="14" stopIfTrue="1">
      <formula>Z7=KeyCustom2</formula>
    </cfRule>
    <cfRule type="expression" dxfId="603" priority="17" stopIfTrue="1">
      <formula>Z7=KeyPersonal</formula>
    </cfRule>
    <cfRule type="expression" dxfId="602" priority="16" stopIfTrue="1">
      <formula>Z7=KeySick</formula>
    </cfRule>
    <cfRule type="expression" dxfId="601" priority="15" stopIfTrue="1">
      <formula>Z7=KeyCustom1</formula>
    </cfRule>
    <cfRule type="expression" priority="13" stopIfTrue="1">
      <formula>Z7=""</formula>
    </cfRule>
    <cfRule type="expression" dxfId="600" priority="18" stopIfTrue="1">
      <formula>Z7=KeyVacation</formula>
    </cfRule>
  </conditionalFormatting>
  <conditionalFormatting sqref="AA7">
    <cfRule type="expression" dxfId="599" priority="102" stopIfTrue="1">
      <formula>AA7=KeyVacation</formula>
    </cfRule>
    <cfRule type="expression" dxfId="598" priority="101" stopIfTrue="1">
      <formula>AA7=KeyPersonal</formula>
    </cfRule>
    <cfRule type="expression" dxfId="597" priority="100" stopIfTrue="1">
      <formula>AA7=KeySick</formula>
    </cfRule>
    <cfRule type="expression" dxfId="596" priority="99" stopIfTrue="1">
      <formula>AA7=KeyCustom1</formula>
    </cfRule>
    <cfRule type="expression" dxfId="595" priority="98" stopIfTrue="1">
      <formula>AA7=KeyCustom2</formula>
    </cfRule>
    <cfRule type="expression" priority="97" stopIfTrue="1">
      <formula>AA7=""</formula>
    </cfRule>
  </conditionalFormatting>
  <conditionalFormatting sqref="AA8:AC18">
    <cfRule type="expression" dxfId="594" priority="2" stopIfTrue="1">
      <formula>AA8=KeyCustom2</formula>
    </cfRule>
    <cfRule type="expression" priority="1" stopIfTrue="1">
      <formula>AA8=""</formula>
    </cfRule>
    <cfRule type="expression" dxfId="593" priority="6" stopIfTrue="1">
      <formula>AA8=KeyVacation</formula>
    </cfRule>
    <cfRule type="expression" dxfId="592" priority="5" stopIfTrue="1">
      <formula>AA8=KeyPersonal</formula>
    </cfRule>
    <cfRule type="expression" dxfId="591" priority="4" stopIfTrue="1">
      <formula>AA8=KeySick</formula>
    </cfRule>
    <cfRule type="expression" dxfId="590" priority="3" stopIfTrue="1">
      <formula>AA8=KeyCustom1</formula>
    </cfRule>
  </conditionalFormatting>
  <conditionalFormatting sqref="AE5">
    <cfRule type="expression" dxfId="589" priority="167">
      <formula>MONTH(DATE(CalendarYear,2,29))&lt;&gt;2</formula>
    </cfRule>
  </conditionalFormatting>
  <conditionalFormatting sqref="AE6">
    <cfRule type="expression" dxfId="588" priority="168">
      <formula>MONTH(DATE(CalendarYear,2,29))&lt;&gt;2</formula>
    </cfRule>
  </conditionalFormatting>
  <conditionalFormatting sqref="AF7:AG15 C7:D18 F8:J8 M8:R9 M10:Q10 I10:J13 K11:Y11 M12:Q13 M14:R16 I17:J18 M17:Q18 AF17:AG18">
    <cfRule type="expression" priority="37" stopIfTrue="1">
      <formula>C7=""</formula>
    </cfRule>
    <cfRule type="expression" dxfId="587" priority="39" stopIfTrue="1">
      <formula>C7=KeyCustom1</formula>
    </cfRule>
    <cfRule type="expression" dxfId="586" priority="40" stopIfTrue="1">
      <formula>C7=KeySick</formula>
    </cfRule>
    <cfRule type="expression" dxfId="585" priority="42" stopIfTrue="1">
      <formula>C7=KeyVacation</formula>
    </cfRule>
    <cfRule type="expression" dxfId="584" priority="41" stopIfTrue="1">
      <formula>C7=KeyPersonal</formula>
    </cfRule>
    <cfRule type="expression" dxfId="583" priority="38" stopIfTrue="1">
      <formula>C7=KeyCustom2</formula>
    </cfRule>
  </conditionalFormatting>
  <conditionalFormatting sqref="AH7:AH13 AH15:AH18">
    <cfRule type="dataBar" priority="152">
      <dataBar>
        <cfvo type="num" val="0"/>
        <cfvo type="num" val="31"/>
        <color theme="2" tint="-0.249977111117893"/>
      </dataBar>
      <extLst>
        <ext xmlns:x14="http://schemas.microsoft.com/office/spreadsheetml/2009/9/main" uri="{B025F937-C7B1-47D3-B67F-A62EFF666E3E}">
          <x14:id>{E9FDFE7A-4305-468E-BDCE-CD4E72072349}</x14:id>
        </ext>
      </extLst>
    </cfRule>
  </conditionalFormatting>
  <conditionalFormatting sqref="AH14">
    <cfRule type="dataBar" priority="127">
      <dataBar>
        <cfvo type="num" val="0"/>
        <cfvo type="num" val="31"/>
        <color theme="2" tint="-0.249977111117893"/>
      </dataBar>
      <extLst>
        <ext xmlns:x14="http://schemas.microsoft.com/office/spreadsheetml/2009/9/main" uri="{B025F937-C7B1-47D3-B67F-A62EFF666E3E}">
          <x14:id>{7673CC54-B800-454D-99DF-9FF2F0B2BBAF}</x14:id>
        </ext>
      </extLst>
    </cfRule>
  </conditionalFormatting>
  <dataValidations xWindow="232" yWindow="365" count="14">
    <dataValidation allowBlank="1" showInputMessage="1" showErrorMessage="1" prompt="Automatisch bijgewerkt jaar op basis van het jaar dat in het werkblad januari is ingevoerd" sqref="AH4" xr:uid="{00000000-0002-0000-0100-000000000000}"/>
    <dataValidation allowBlank="1" showInputMessage="1" showErrorMessage="1" prompt="Houd de afwezigheid in februari in dit werkblad bij" sqref="A1" xr:uid="{00000000-0002-0000-0100-000001000000}"/>
    <dataValidation allowBlank="1" showInputMessage="1" showErrorMessage="1" prompt="Berekent automatisch het totaal aantal dagen die een werknemer in deze maand afwezig was in deze kolom" sqref="AH6" xr:uid="{00000000-0002-0000-0100-000002000000}"/>
    <dataValidation allowBlank="1" showInputMessage="1" showErrorMessage="1" prompt="De titel wordt automatisch bijgewerkt in deze cel. Als u de titel wilt wijzigen, werk B1 in het januari-werkblad bij" sqref="B1" xr:uid="{00000000-0002-0000-0100-000003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100-000004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100-000005000000}"/>
    <dataValidation allowBlank="1" showInputMessage="1" showErrorMessage="1" prompt="Deze rij definieert de sleutels die worden gebruikt in de tabel: cel C2 is Vakantie, G2 is Persoonlijk en K2 is Ziekteverlof. De cellen N2 en R2 kunnen worden aangepast" sqref="B2" xr:uid="{00000000-0002-0000-0100-000006000000}"/>
    <dataValidation allowBlank="1" showInputMessage="1" showErrorMessage="1" prompt="Voer links een label in om de aangepaste sleutel te beschrijven" sqref="O2:Q2 S2:U2" xr:uid="{00000000-0002-0000-0100-000007000000}"/>
    <dataValidation allowBlank="1" showInputMessage="1" showErrorMessage="1" prompt="Voer een letter in en pas rechts het label aan om een ander sleutelitem toe te voegen" sqref="N2 R2" xr:uid="{00000000-0002-0000-0100-000008000000}"/>
    <dataValidation allowBlank="1" showInputMessage="1" showErrorMessage="1" prompt="De letter &quot;Z&quot; geeft afwezigheid vanwege ziekte aan" sqref="K2" xr:uid="{00000000-0002-0000-0100-000009000000}"/>
    <dataValidation allowBlank="1" showInputMessage="1" showErrorMessage="1" prompt="De letter &quot;P&quot; geeft afwezigheid vanwege persoonlijke redenen aan" sqref="G2" xr:uid="{00000000-0002-0000-0100-00000A000000}"/>
    <dataValidation allowBlank="1" showInputMessage="1" showErrorMessage="1" prompt="De letter &quot;V&quot; geeft afwezigheid vanwege vakantie aan" sqref="C2" xr:uid="{00000000-0002-0000-0100-00000B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1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1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9FDFE7A-4305-468E-BDCE-CD4E72072349}">
            <x14:dataBar minLength="0" maxLength="100">
              <x14:cfvo type="num">
                <xm:f>0</xm:f>
              </x14:cfvo>
              <x14:cfvo type="num">
                <xm:f>31</xm:f>
              </x14:cfvo>
              <x14:negativeFillColor rgb="FFFF0000"/>
              <x14:axisColor rgb="FF000000"/>
            </x14:dataBar>
          </x14:cfRule>
          <xm:sqref>AH7:AH13 AH15:AH18</xm:sqref>
        </x14:conditionalFormatting>
        <x14:conditionalFormatting xmlns:xm="http://schemas.microsoft.com/office/excel/2006/main">
          <x14:cfRule type="dataBar" id="{7673CC54-B800-454D-99DF-9FF2F0B2BBAF}">
            <x14:dataBar minLength="0" maxLength="100">
              <x14:cfvo type="num">
                <xm:f>0</xm:f>
              </x14:cfvo>
              <x14:cfvo type="num">
                <xm:f>31</xm:f>
              </x14:cfvo>
              <x14:negativeFillColor rgb="FFFF0000"/>
              <x14:axisColor rgb="FF000000"/>
            </x14:dataBar>
          </x14:cfRule>
          <xm:sqref>AH14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theme="2" tint="-0.499984740745262"/>
    <pageSetUpPr fitToPage="1"/>
  </sheetPr>
  <dimension ref="B1:AH20"/>
  <sheetViews>
    <sheetView showGridLines="0" zoomScaleNormal="100" workbookViewId="0">
      <selection activeCell="AK16" sqref="AK16"/>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48</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TEXT(WEEKDAY(DATE(CalendarYear,3,1),1),"aaa")</f>
        <v>za</v>
      </c>
      <c r="D5" s="1" t="str">
        <f>TEXT(WEEKDAY(DATE(CalendarYear,3,2),1),"aaa")</f>
        <v>zo</v>
      </c>
      <c r="E5" s="1" t="str">
        <f>TEXT(WEEKDAY(DATE(CalendarYear,3,3),1),"aaa")</f>
        <v>ma</v>
      </c>
      <c r="F5" s="1" t="str">
        <f>TEXT(WEEKDAY(DATE(CalendarYear,3,4),1),"aaa")</f>
        <v>di</v>
      </c>
      <c r="G5" s="1" t="str">
        <f>TEXT(WEEKDAY(DATE(CalendarYear,3,5),1),"aaa")</f>
        <v>wo</v>
      </c>
      <c r="H5" s="1" t="str">
        <f>TEXT(WEEKDAY(DATE(CalendarYear,3,6),1),"aaa")</f>
        <v>do</v>
      </c>
      <c r="I5" s="1" t="str">
        <f>TEXT(WEEKDAY(DATE(CalendarYear,3,7),1),"aaa")</f>
        <v>vr</v>
      </c>
      <c r="J5" s="1" t="str">
        <f>TEXT(WEEKDAY(DATE(CalendarYear,3,8),1),"aaa")</f>
        <v>za</v>
      </c>
      <c r="K5" s="1" t="str">
        <f>TEXT(WEEKDAY(DATE(CalendarYear,3,9),1),"aaa")</f>
        <v>zo</v>
      </c>
      <c r="L5" s="1" t="str">
        <f>TEXT(WEEKDAY(DATE(CalendarYear,3,10),1),"aaa")</f>
        <v>ma</v>
      </c>
      <c r="M5" s="1" t="str">
        <f>TEXT(WEEKDAY(DATE(CalendarYear,3,11),1),"aaa")</f>
        <v>di</v>
      </c>
      <c r="N5" s="1" t="str">
        <f>TEXT(WEEKDAY(DATE(CalendarYear,3,12),1),"aaa")</f>
        <v>wo</v>
      </c>
      <c r="O5" s="1" t="str">
        <f>TEXT(WEEKDAY(DATE(CalendarYear,3,13),1),"aaa")</f>
        <v>do</v>
      </c>
      <c r="P5" s="1" t="str">
        <f>TEXT(WEEKDAY(DATE(CalendarYear,3,14),1),"aaa")</f>
        <v>vr</v>
      </c>
      <c r="Q5" s="1" t="str">
        <f>TEXT(WEEKDAY(DATE(CalendarYear,3,15),1),"aaa")</f>
        <v>za</v>
      </c>
      <c r="R5" s="1" t="str">
        <f>TEXT(WEEKDAY(DATE(CalendarYear,3,16),1),"aaa")</f>
        <v>zo</v>
      </c>
      <c r="S5" s="1" t="str">
        <f>TEXT(WEEKDAY(DATE(CalendarYear,3,17),1),"aaa")</f>
        <v>ma</v>
      </c>
      <c r="T5" s="1" t="str">
        <f>TEXT(WEEKDAY(DATE(CalendarYear,3,18),1),"aaa")</f>
        <v>di</v>
      </c>
      <c r="U5" s="1" t="str">
        <f>TEXT(WEEKDAY(DATE(CalendarYear,3,19),1),"aaa")</f>
        <v>wo</v>
      </c>
      <c r="V5" s="1" t="str">
        <f>TEXT(WEEKDAY(DATE(CalendarYear,3,20),1),"aaa")</f>
        <v>do</v>
      </c>
      <c r="W5" s="1" t="str">
        <f>TEXT(WEEKDAY(DATE(CalendarYear,3,21),1),"aaa")</f>
        <v>vr</v>
      </c>
      <c r="X5" s="1" t="str">
        <f>TEXT(WEEKDAY(DATE(CalendarYear,3,22),1),"aaa")</f>
        <v>za</v>
      </c>
      <c r="Y5" s="1" t="str">
        <f>TEXT(WEEKDAY(DATE(CalendarYear,3,23),1),"aaa")</f>
        <v>zo</v>
      </c>
      <c r="Z5" s="1" t="str">
        <f>TEXT(WEEKDAY(DATE(CalendarYear,3,24),1),"aaa")</f>
        <v>ma</v>
      </c>
      <c r="AA5" s="1" t="str">
        <f>TEXT(WEEKDAY(DATE(CalendarYear,3,25),1),"aaa")</f>
        <v>di</v>
      </c>
      <c r="AB5" s="1" t="str">
        <f>TEXT(WEEKDAY(DATE(CalendarYear,3,26),1),"aaa")</f>
        <v>wo</v>
      </c>
      <c r="AC5" s="1" t="str">
        <f>TEXT(WEEKDAY(DATE(CalendarYear,3,27),1),"aaa")</f>
        <v>do</v>
      </c>
      <c r="AD5" s="1" t="str">
        <f>TEXT(WEEKDAY(DATE(CalendarYear,3,28),1),"aaa")</f>
        <v>vr</v>
      </c>
      <c r="AE5" s="1" t="str">
        <f>TEXT(WEEKDAY(DATE(CalendarYear,3,29),1),"aaa")</f>
        <v>za</v>
      </c>
      <c r="AF5" s="1" t="str">
        <f>TEXT(WEEKDAY(DATE(CalendarYear,3,30),1),"aaa")</f>
        <v>zo</v>
      </c>
      <c r="AG5" s="1" t="str">
        <f>TEXT(WEEKDAY(DATE(CalendarYear,3,31),1),"aaa")</f>
        <v>ma</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65</v>
      </c>
      <c r="C7" s="1">
        <v>3.5</v>
      </c>
      <c r="D7" s="1">
        <v>3.5</v>
      </c>
      <c r="E7" s="1" t="s">
        <v>4</v>
      </c>
      <c r="F7" s="1" t="s">
        <v>67</v>
      </c>
      <c r="G7" s="1" t="s">
        <v>67</v>
      </c>
      <c r="H7" s="1" t="s">
        <v>67</v>
      </c>
      <c r="I7" s="1">
        <v>3.5</v>
      </c>
      <c r="J7" s="1" t="s">
        <v>4</v>
      </c>
      <c r="K7" s="1">
        <v>3.5</v>
      </c>
      <c r="L7" s="1" t="s">
        <v>4</v>
      </c>
      <c r="M7" s="1" t="s">
        <v>67</v>
      </c>
      <c r="N7" s="1" t="s">
        <v>67</v>
      </c>
      <c r="O7" s="1" t="s">
        <v>67</v>
      </c>
      <c r="P7" s="1">
        <v>4</v>
      </c>
      <c r="Q7" s="1">
        <v>4</v>
      </c>
      <c r="R7" s="1">
        <v>3.5</v>
      </c>
      <c r="S7" s="1" t="s">
        <v>4</v>
      </c>
      <c r="T7" s="1" t="s">
        <v>67</v>
      </c>
      <c r="U7" s="1" t="s">
        <v>67</v>
      </c>
      <c r="V7" s="1" t="s">
        <v>67</v>
      </c>
      <c r="W7" s="1">
        <v>3.5</v>
      </c>
      <c r="X7" s="1">
        <v>3.5</v>
      </c>
      <c r="Y7" s="1">
        <v>3.5</v>
      </c>
      <c r="Z7" s="1" t="s">
        <v>4</v>
      </c>
      <c r="AA7" s="1" t="s">
        <v>67</v>
      </c>
      <c r="AB7" s="1" t="s">
        <v>67</v>
      </c>
      <c r="AC7" s="1" t="s">
        <v>67</v>
      </c>
      <c r="AD7" s="1">
        <v>3.5</v>
      </c>
      <c r="AE7" s="1">
        <v>3</v>
      </c>
      <c r="AF7" s="1">
        <v>3.5</v>
      </c>
      <c r="AG7" s="1" t="s">
        <v>4</v>
      </c>
      <c r="AH7" s="7">
        <f>SUM(Maart[[#This Row],[1]:[31]])</f>
        <v>46</v>
      </c>
    </row>
    <row r="8" spans="2:34" ht="30" customHeight="1" x14ac:dyDescent="0.25">
      <c r="B8" t="s">
        <v>61</v>
      </c>
      <c r="C8" s="1">
        <v>4</v>
      </c>
      <c r="D8" s="1">
        <v>4</v>
      </c>
      <c r="E8" s="1" t="s">
        <v>4</v>
      </c>
      <c r="F8" s="1" t="s">
        <v>67</v>
      </c>
      <c r="G8" s="1" t="s">
        <v>67</v>
      </c>
      <c r="H8" s="1" t="s">
        <v>67</v>
      </c>
      <c r="I8" s="1" t="s">
        <v>67</v>
      </c>
      <c r="J8" s="1" t="s">
        <v>67</v>
      </c>
      <c r="K8" s="1" t="s">
        <v>67</v>
      </c>
      <c r="L8" s="1" t="s">
        <v>4</v>
      </c>
      <c r="M8" s="1" t="s">
        <v>67</v>
      </c>
      <c r="N8" s="1" t="s">
        <v>67</v>
      </c>
      <c r="O8" s="1" t="s">
        <v>67</v>
      </c>
      <c r="P8" s="1" t="s">
        <v>67</v>
      </c>
      <c r="Q8" s="1" t="s">
        <v>67</v>
      </c>
      <c r="R8" s="1" t="s">
        <v>67</v>
      </c>
      <c r="S8" s="1" t="s">
        <v>4</v>
      </c>
      <c r="T8" s="1" t="s">
        <v>67</v>
      </c>
      <c r="U8" s="1" t="s">
        <v>67</v>
      </c>
      <c r="V8" s="1" t="s">
        <v>67</v>
      </c>
      <c r="W8" s="1" t="s">
        <v>67</v>
      </c>
      <c r="X8" s="1" t="s">
        <v>67</v>
      </c>
      <c r="Y8" s="1" t="s">
        <v>67</v>
      </c>
      <c r="Z8" s="1" t="s">
        <v>4</v>
      </c>
      <c r="AA8" s="1" t="s">
        <v>67</v>
      </c>
      <c r="AB8" s="1" t="s">
        <v>67</v>
      </c>
      <c r="AC8" s="1" t="s">
        <v>67</v>
      </c>
      <c r="AD8" s="1" t="s">
        <v>67</v>
      </c>
      <c r="AE8" s="1" t="s">
        <v>67</v>
      </c>
      <c r="AF8" s="1" t="s">
        <v>67</v>
      </c>
      <c r="AG8" s="1" t="s">
        <v>4</v>
      </c>
      <c r="AH8" s="7">
        <f>SUM(Maart[[#This Row],[1]:[31]])</f>
        <v>8</v>
      </c>
    </row>
    <row r="9" spans="2:34" ht="30" customHeight="1" x14ac:dyDescent="0.25">
      <c r="B9" s="19" t="s">
        <v>74</v>
      </c>
      <c r="C9" s="1" t="s">
        <v>67</v>
      </c>
      <c r="D9" s="1" t="s">
        <v>67</v>
      </c>
      <c r="E9" s="1" t="s">
        <v>4</v>
      </c>
      <c r="F9" s="1" t="s">
        <v>67</v>
      </c>
      <c r="G9" s="1" t="s">
        <v>67</v>
      </c>
      <c r="H9" s="1" t="s">
        <v>67</v>
      </c>
      <c r="I9" s="1" t="s">
        <v>67</v>
      </c>
      <c r="J9" s="1" t="s">
        <v>67</v>
      </c>
      <c r="K9" s="1" t="s">
        <v>67</v>
      </c>
      <c r="L9" s="1" t="s">
        <v>4</v>
      </c>
      <c r="M9" s="1" t="s">
        <v>67</v>
      </c>
      <c r="N9" s="1" t="s">
        <v>67</v>
      </c>
      <c r="O9" s="1" t="s">
        <v>67</v>
      </c>
      <c r="P9" s="1" t="s">
        <v>67</v>
      </c>
      <c r="Q9" s="1" t="s">
        <v>67</v>
      </c>
      <c r="R9" s="1" t="s">
        <v>67</v>
      </c>
      <c r="S9" s="1" t="s">
        <v>4</v>
      </c>
      <c r="T9" s="1" t="s">
        <v>67</v>
      </c>
      <c r="U9" s="1" t="s">
        <v>67</v>
      </c>
      <c r="V9" s="1" t="s">
        <v>67</v>
      </c>
      <c r="W9" s="1" t="s">
        <v>67</v>
      </c>
      <c r="X9" s="1" t="s">
        <v>67</v>
      </c>
      <c r="Y9" s="1" t="s">
        <v>67</v>
      </c>
      <c r="Z9" s="1" t="s">
        <v>4</v>
      </c>
      <c r="AA9" s="1" t="s">
        <v>67</v>
      </c>
      <c r="AB9" s="1" t="s">
        <v>67</v>
      </c>
      <c r="AC9" s="1" t="s">
        <v>67</v>
      </c>
      <c r="AD9" s="1" t="s">
        <v>67</v>
      </c>
      <c r="AE9" s="1" t="s">
        <v>67</v>
      </c>
      <c r="AF9" s="1" t="s">
        <v>67</v>
      </c>
      <c r="AG9" s="1" t="s">
        <v>4</v>
      </c>
      <c r="AH9" s="7">
        <f>SUM(Maart[[#This Row],[1]:[31]])</f>
        <v>0</v>
      </c>
    </row>
    <row r="10" spans="2:34" ht="30" customHeight="1" x14ac:dyDescent="0.25">
      <c r="B10" s="20" t="s">
        <v>76</v>
      </c>
      <c r="C10" s="1">
        <v>5</v>
      </c>
      <c r="D10" s="1">
        <v>5</v>
      </c>
      <c r="E10" s="1" t="s">
        <v>4</v>
      </c>
      <c r="F10" s="1" t="s">
        <v>67</v>
      </c>
      <c r="G10" s="1" t="s">
        <v>67</v>
      </c>
      <c r="H10" s="1" t="s">
        <v>67</v>
      </c>
      <c r="I10" s="1">
        <v>5</v>
      </c>
      <c r="J10" s="1">
        <v>5</v>
      </c>
      <c r="K10" s="1">
        <v>5</v>
      </c>
      <c r="L10" s="1" t="s">
        <v>4</v>
      </c>
      <c r="M10" s="1" t="s">
        <v>67</v>
      </c>
      <c r="N10" s="1" t="s">
        <v>67</v>
      </c>
      <c r="O10" s="1" t="s">
        <v>67</v>
      </c>
      <c r="P10" s="1">
        <v>5</v>
      </c>
      <c r="Q10" s="1">
        <v>5</v>
      </c>
      <c r="R10" s="1">
        <v>5</v>
      </c>
      <c r="S10" s="1" t="s">
        <v>4</v>
      </c>
      <c r="T10" s="1" t="s">
        <v>67</v>
      </c>
      <c r="U10" s="1" t="s">
        <v>67</v>
      </c>
      <c r="V10" s="1" t="s">
        <v>67</v>
      </c>
      <c r="W10" s="1">
        <v>5</v>
      </c>
      <c r="X10" s="1">
        <v>5</v>
      </c>
      <c r="Y10" s="1">
        <v>5</v>
      </c>
      <c r="Z10" s="1" t="s">
        <v>4</v>
      </c>
      <c r="AA10" s="1" t="s">
        <v>67</v>
      </c>
      <c r="AB10" s="1" t="s">
        <v>67</v>
      </c>
      <c r="AC10" s="1" t="s">
        <v>67</v>
      </c>
      <c r="AD10" s="1">
        <v>5</v>
      </c>
      <c r="AE10" s="1">
        <v>5</v>
      </c>
      <c r="AF10" s="1">
        <v>5</v>
      </c>
      <c r="AG10" s="1" t="s">
        <v>4</v>
      </c>
      <c r="AH10" s="7">
        <f>SUM(Maart[[#This Row],[1]:[31]])</f>
        <v>70</v>
      </c>
    </row>
    <row r="11" spans="2:34" ht="30" customHeight="1" x14ac:dyDescent="0.25">
      <c r="B11" s="19" t="s">
        <v>77</v>
      </c>
      <c r="C11" s="1">
        <v>3.5</v>
      </c>
      <c r="D11" s="1">
        <v>3.5</v>
      </c>
      <c r="E11" s="1" t="s">
        <v>4</v>
      </c>
      <c r="F11" s="1" t="s">
        <v>67</v>
      </c>
      <c r="G11" s="1" t="s">
        <v>67</v>
      </c>
      <c r="H11" s="1" t="s">
        <v>67</v>
      </c>
      <c r="I11" s="1" t="s">
        <v>67</v>
      </c>
      <c r="J11" s="1">
        <v>4</v>
      </c>
      <c r="K11" s="1">
        <v>3.5</v>
      </c>
      <c r="L11" s="1" t="s">
        <v>4</v>
      </c>
      <c r="M11" s="1" t="s">
        <v>67</v>
      </c>
      <c r="N11" s="1" t="s">
        <v>67</v>
      </c>
      <c r="O11" s="1" t="s">
        <v>67</v>
      </c>
      <c r="P11" s="1" t="s">
        <v>67</v>
      </c>
      <c r="Q11" s="1">
        <v>3.5</v>
      </c>
      <c r="R11" s="1">
        <v>3.5</v>
      </c>
      <c r="S11" s="1" t="s">
        <v>4</v>
      </c>
      <c r="T11" s="1" t="s">
        <v>67</v>
      </c>
      <c r="U11" s="1" t="s">
        <v>67</v>
      </c>
      <c r="V11" s="1" t="s">
        <v>67</v>
      </c>
      <c r="W11" s="1" t="s">
        <v>67</v>
      </c>
      <c r="X11" s="1">
        <v>4</v>
      </c>
      <c r="Y11" s="1">
        <v>4</v>
      </c>
      <c r="Z11" s="1" t="s">
        <v>4</v>
      </c>
      <c r="AA11" s="1" t="s">
        <v>67</v>
      </c>
      <c r="AB11" s="1" t="s">
        <v>67</v>
      </c>
      <c r="AC11" s="1" t="s">
        <v>67</v>
      </c>
      <c r="AD11" s="1">
        <v>3.5</v>
      </c>
      <c r="AE11" s="1">
        <v>4</v>
      </c>
      <c r="AF11" s="1">
        <v>3.5</v>
      </c>
      <c r="AG11" s="1" t="s">
        <v>4</v>
      </c>
      <c r="AH11" s="7">
        <f>SUM(Maart[[#This Row],[1]:[31]])</f>
        <v>40.5</v>
      </c>
    </row>
    <row r="12" spans="2:34" ht="30" customHeight="1" x14ac:dyDescent="0.25">
      <c r="B12" t="s">
        <v>64</v>
      </c>
      <c r="C12" s="1">
        <v>4</v>
      </c>
      <c r="D12" s="1">
        <v>4</v>
      </c>
      <c r="E12" s="1" t="s">
        <v>4</v>
      </c>
      <c r="F12" s="1" t="s">
        <v>67</v>
      </c>
      <c r="G12" s="1" t="s">
        <v>67</v>
      </c>
      <c r="H12" s="1" t="s">
        <v>67</v>
      </c>
      <c r="I12" s="1" t="s">
        <v>67</v>
      </c>
      <c r="J12" s="1">
        <v>4</v>
      </c>
      <c r="K12" s="1">
        <v>4</v>
      </c>
      <c r="L12" s="1" t="s">
        <v>4</v>
      </c>
      <c r="M12" s="1" t="s">
        <v>67</v>
      </c>
      <c r="N12" s="1">
        <v>4</v>
      </c>
      <c r="O12" s="1">
        <v>4</v>
      </c>
      <c r="P12" s="1">
        <v>4</v>
      </c>
      <c r="Q12" s="1">
        <v>4</v>
      </c>
      <c r="R12" s="1">
        <v>4</v>
      </c>
      <c r="S12" s="1" t="s">
        <v>4</v>
      </c>
      <c r="T12" s="1" t="s">
        <v>67</v>
      </c>
      <c r="U12" s="1" t="s">
        <v>67</v>
      </c>
      <c r="V12" s="1" t="s">
        <v>67</v>
      </c>
      <c r="W12" s="1" t="s">
        <v>67</v>
      </c>
      <c r="X12" s="1">
        <v>4</v>
      </c>
      <c r="Y12" s="1">
        <v>4</v>
      </c>
      <c r="Z12" s="1" t="s">
        <v>4</v>
      </c>
      <c r="AA12" s="1" t="s">
        <v>67</v>
      </c>
      <c r="AB12" s="1">
        <v>4</v>
      </c>
      <c r="AC12" s="1">
        <v>4</v>
      </c>
      <c r="AD12" s="1">
        <v>4</v>
      </c>
      <c r="AE12" s="1">
        <v>4</v>
      </c>
      <c r="AF12" s="1">
        <v>4</v>
      </c>
      <c r="AG12" s="1" t="s">
        <v>4</v>
      </c>
      <c r="AH12" s="7">
        <f>SUM(Maart[[#This Row],[1]:[31]])</f>
        <v>64</v>
      </c>
    </row>
    <row r="13" spans="2:34" ht="30" customHeight="1" x14ac:dyDescent="0.25">
      <c r="B13" t="s">
        <v>71</v>
      </c>
      <c r="C13" s="1">
        <v>4</v>
      </c>
      <c r="D13" s="1">
        <v>4</v>
      </c>
      <c r="E13" s="1" t="s">
        <v>4</v>
      </c>
      <c r="F13" s="1" t="s">
        <v>67</v>
      </c>
      <c r="G13" s="1" t="s">
        <v>67</v>
      </c>
      <c r="H13" s="1" t="s">
        <v>67</v>
      </c>
      <c r="I13" s="1">
        <v>4</v>
      </c>
      <c r="J13" s="1">
        <v>4</v>
      </c>
      <c r="K13" s="1">
        <v>4</v>
      </c>
      <c r="L13" s="1" t="s">
        <v>4</v>
      </c>
      <c r="M13" s="1" t="s">
        <v>67</v>
      </c>
      <c r="N13" s="1" t="s">
        <v>67</v>
      </c>
      <c r="O13" s="1" t="s">
        <v>67</v>
      </c>
      <c r="P13" s="1">
        <v>4</v>
      </c>
      <c r="Q13" s="1">
        <v>4</v>
      </c>
      <c r="R13" s="1">
        <v>4</v>
      </c>
      <c r="S13" s="1" t="s">
        <v>4</v>
      </c>
      <c r="T13" s="1" t="s">
        <v>67</v>
      </c>
      <c r="U13" s="1" t="s">
        <v>67</v>
      </c>
      <c r="V13" s="1" t="s">
        <v>67</v>
      </c>
      <c r="W13" s="1">
        <v>4</v>
      </c>
      <c r="X13" s="1">
        <v>4</v>
      </c>
      <c r="Y13" s="1">
        <v>4</v>
      </c>
      <c r="Z13" s="1" t="s">
        <v>4</v>
      </c>
      <c r="AA13" s="1" t="s">
        <v>67</v>
      </c>
      <c r="AB13" s="1" t="s">
        <v>67</v>
      </c>
      <c r="AC13" s="1" t="s">
        <v>67</v>
      </c>
      <c r="AD13" s="1">
        <v>4</v>
      </c>
      <c r="AE13" s="1">
        <v>4</v>
      </c>
      <c r="AF13" s="1">
        <v>4</v>
      </c>
      <c r="AG13" s="1" t="s">
        <v>4</v>
      </c>
      <c r="AH13" s="7">
        <f>SUM(Maart[[#This Row],[1]:[31]])</f>
        <v>56</v>
      </c>
    </row>
    <row r="14" spans="2:34" ht="30" customHeight="1" x14ac:dyDescent="0.25">
      <c r="B14" t="s">
        <v>70</v>
      </c>
      <c r="C14" s="1">
        <v>4</v>
      </c>
      <c r="D14" s="1">
        <v>4</v>
      </c>
      <c r="E14" s="1" t="s">
        <v>4</v>
      </c>
      <c r="F14" s="1" t="s">
        <v>67</v>
      </c>
      <c r="G14" s="1" t="s">
        <v>67</v>
      </c>
      <c r="H14" s="1" t="s">
        <v>67</v>
      </c>
      <c r="I14" s="1">
        <v>4</v>
      </c>
      <c r="J14" s="1">
        <v>4</v>
      </c>
      <c r="K14" s="1">
        <v>4</v>
      </c>
      <c r="L14" s="1" t="s">
        <v>4</v>
      </c>
      <c r="M14" s="1" t="s">
        <v>67</v>
      </c>
      <c r="N14" s="1" t="s">
        <v>67</v>
      </c>
      <c r="O14" s="1" t="s">
        <v>67</v>
      </c>
      <c r="P14" s="1">
        <v>4</v>
      </c>
      <c r="Q14" s="1">
        <v>4</v>
      </c>
      <c r="R14" s="1">
        <v>4</v>
      </c>
      <c r="S14" s="1" t="s">
        <v>4</v>
      </c>
      <c r="T14" s="1" t="s">
        <v>67</v>
      </c>
      <c r="U14" s="1" t="s">
        <v>67</v>
      </c>
      <c r="V14" s="1" t="s">
        <v>67</v>
      </c>
      <c r="W14" s="1">
        <v>4</v>
      </c>
      <c r="X14" s="1">
        <v>4</v>
      </c>
      <c r="Y14" s="1">
        <v>4</v>
      </c>
      <c r="Z14" s="1" t="s">
        <v>4</v>
      </c>
      <c r="AA14" s="1" t="s">
        <v>67</v>
      </c>
      <c r="AB14" s="1" t="s">
        <v>67</v>
      </c>
      <c r="AC14" s="1" t="s">
        <v>67</v>
      </c>
      <c r="AD14" s="1">
        <v>4</v>
      </c>
      <c r="AE14" s="1">
        <v>4</v>
      </c>
      <c r="AF14" s="1">
        <v>4</v>
      </c>
      <c r="AG14" s="1" t="s">
        <v>4</v>
      </c>
      <c r="AH14" s="7">
        <f>SUM(Maart[[#This Row],[1]:[31]])</f>
        <v>56</v>
      </c>
    </row>
    <row r="15" spans="2:34" ht="30" customHeight="1" x14ac:dyDescent="0.25">
      <c r="B15" t="s">
        <v>63</v>
      </c>
      <c r="C15" s="1" t="s">
        <v>67</v>
      </c>
      <c r="D15" s="1" t="s">
        <v>67</v>
      </c>
      <c r="E15" s="1" t="s">
        <v>4</v>
      </c>
      <c r="F15" s="1" t="s">
        <v>67</v>
      </c>
      <c r="G15" s="1" t="s">
        <v>67</v>
      </c>
      <c r="H15" s="1" t="s">
        <v>67</v>
      </c>
      <c r="I15" s="1" t="s">
        <v>67</v>
      </c>
      <c r="J15" s="1" t="s">
        <v>67</v>
      </c>
      <c r="K15" s="1" t="s">
        <v>67</v>
      </c>
      <c r="L15" s="1" t="s">
        <v>4</v>
      </c>
      <c r="M15" s="1" t="s">
        <v>67</v>
      </c>
      <c r="N15" s="1" t="s">
        <v>67</v>
      </c>
      <c r="O15" s="1" t="s">
        <v>67</v>
      </c>
      <c r="P15" s="1" t="s">
        <v>67</v>
      </c>
      <c r="Q15" s="1" t="s">
        <v>67</v>
      </c>
      <c r="R15" s="1" t="s">
        <v>67</v>
      </c>
      <c r="S15" s="1" t="s">
        <v>4</v>
      </c>
      <c r="T15" s="1" t="s">
        <v>67</v>
      </c>
      <c r="U15" s="1" t="s">
        <v>67</v>
      </c>
      <c r="V15" s="1" t="s">
        <v>67</v>
      </c>
      <c r="W15" s="1" t="s">
        <v>67</v>
      </c>
      <c r="X15" s="1" t="s">
        <v>67</v>
      </c>
      <c r="Y15" s="1" t="s">
        <v>67</v>
      </c>
      <c r="Z15" s="1" t="s">
        <v>4</v>
      </c>
      <c r="AA15" s="1" t="s">
        <v>67</v>
      </c>
      <c r="AB15" s="1" t="s">
        <v>67</v>
      </c>
      <c r="AC15" s="1" t="s">
        <v>67</v>
      </c>
      <c r="AD15" s="1" t="s">
        <v>67</v>
      </c>
      <c r="AE15" s="1" t="s">
        <v>67</v>
      </c>
      <c r="AF15" s="1" t="s">
        <v>67</v>
      </c>
      <c r="AG15" s="1" t="s">
        <v>4</v>
      </c>
      <c r="AH15" s="7">
        <f>SUM(Januari!$C14:$AG14)</f>
        <v>42</v>
      </c>
    </row>
    <row r="16" spans="2:34" ht="30" customHeight="1" x14ac:dyDescent="0.25">
      <c r="B16" t="s">
        <v>60</v>
      </c>
      <c r="C16" s="1" t="s">
        <v>4</v>
      </c>
      <c r="D16" s="1" t="s">
        <v>4</v>
      </c>
      <c r="E16" s="1" t="s">
        <v>4</v>
      </c>
      <c r="F16" s="1" t="s">
        <v>67</v>
      </c>
      <c r="G16" s="1" t="s">
        <v>67</v>
      </c>
      <c r="H16" s="1" t="s">
        <v>67</v>
      </c>
      <c r="I16" s="1" t="s">
        <v>67</v>
      </c>
      <c r="J16" s="1" t="s">
        <v>67</v>
      </c>
      <c r="K16" s="1" t="s">
        <v>67</v>
      </c>
      <c r="L16" s="1" t="s">
        <v>4</v>
      </c>
      <c r="M16" s="1" t="s">
        <v>67</v>
      </c>
      <c r="N16" s="1" t="s">
        <v>67</v>
      </c>
      <c r="O16" s="1" t="s">
        <v>67</v>
      </c>
      <c r="P16" s="1" t="s">
        <v>67</v>
      </c>
      <c r="Q16" s="1" t="s">
        <v>67</v>
      </c>
      <c r="R16" s="1" t="s">
        <v>67</v>
      </c>
      <c r="S16" s="1" t="s">
        <v>4</v>
      </c>
      <c r="T16" s="1" t="s">
        <v>67</v>
      </c>
      <c r="U16" s="1" t="s">
        <v>67</v>
      </c>
      <c r="V16" s="1" t="s">
        <v>67</v>
      </c>
      <c r="W16" s="1" t="s">
        <v>67</v>
      </c>
      <c r="X16" s="1" t="s">
        <v>67</v>
      </c>
      <c r="Y16" s="1" t="s">
        <v>67</v>
      </c>
      <c r="Z16" s="1" t="s">
        <v>4</v>
      </c>
      <c r="AA16" s="1" t="s">
        <v>67</v>
      </c>
      <c r="AB16" s="1" t="s">
        <v>67</v>
      </c>
      <c r="AC16" s="1" t="s">
        <v>67</v>
      </c>
      <c r="AD16" s="1" t="s">
        <v>67</v>
      </c>
      <c r="AE16" s="1" t="s">
        <v>67</v>
      </c>
      <c r="AF16" s="1" t="s">
        <v>67</v>
      </c>
      <c r="AG16" s="1" t="s">
        <v>4</v>
      </c>
      <c r="AH16" s="7">
        <f>SUM(Maart[[#This Row],[1]:[31]])</f>
        <v>0</v>
      </c>
    </row>
    <row r="17" spans="2:34" ht="30" customHeight="1" x14ac:dyDescent="0.25">
      <c r="B17" t="s">
        <v>62</v>
      </c>
      <c r="C17" s="1">
        <v>3.5</v>
      </c>
      <c r="D17" s="1">
        <v>3.5</v>
      </c>
      <c r="E17" s="1" t="s">
        <v>4</v>
      </c>
      <c r="F17" s="1" t="s">
        <v>67</v>
      </c>
      <c r="G17" s="1" t="s">
        <v>67</v>
      </c>
      <c r="H17" s="1" t="s">
        <v>67</v>
      </c>
      <c r="I17" s="1" t="s">
        <v>67</v>
      </c>
      <c r="J17" s="1">
        <v>3.5</v>
      </c>
      <c r="K17" s="1">
        <v>3.5</v>
      </c>
      <c r="L17" s="1" t="s">
        <v>4</v>
      </c>
      <c r="M17" s="1" t="s">
        <v>67</v>
      </c>
      <c r="N17" s="1" t="s">
        <v>67</v>
      </c>
      <c r="O17" s="1" t="s">
        <v>67</v>
      </c>
      <c r="P17" s="1" t="s">
        <v>67</v>
      </c>
      <c r="Q17" s="1">
        <v>3.5</v>
      </c>
      <c r="R17" s="1">
        <v>3.5</v>
      </c>
      <c r="S17" s="1" t="s">
        <v>4</v>
      </c>
      <c r="T17" s="1" t="s">
        <v>67</v>
      </c>
      <c r="U17" s="1" t="s">
        <v>67</v>
      </c>
      <c r="V17" s="1" t="s">
        <v>67</v>
      </c>
      <c r="W17" s="1" t="s">
        <v>67</v>
      </c>
      <c r="X17" s="1">
        <v>3.5</v>
      </c>
      <c r="Y17" s="1">
        <v>3.5</v>
      </c>
      <c r="Z17" s="1" t="s">
        <v>4</v>
      </c>
      <c r="AA17" s="1" t="s">
        <v>67</v>
      </c>
      <c r="AB17" s="1" t="s">
        <v>67</v>
      </c>
      <c r="AC17" s="1" t="s">
        <v>67</v>
      </c>
      <c r="AD17" s="1" t="s">
        <v>67</v>
      </c>
      <c r="AE17" s="1">
        <v>3.5</v>
      </c>
      <c r="AF17" s="1">
        <v>3.5</v>
      </c>
      <c r="AG17" s="1" t="s">
        <v>4</v>
      </c>
      <c r="AH17" s="7">
        <f>SUM(Maart[[#This Row],[1]:[31]])</f>
        <v>35</v>
      </c>
    </row>
    <row r="18" spans="2:34" ht="30" customHeight="1" x14ac:dyDescent="0.25">
      <c r="B18" s="19" t="s">
        <v>75</v>
      </c>
      <c r="C18" s="1">
        <v>5</v>
      </c>
      <c r="D18" s="1">
        <v>5</v>
      </c>
      <c r="E18" s="1" t="s">
        <v>4</v>
      </c>
      <c r="F18" s="1" t="s">
        <v>67</v>
      </c>
      <c r="G18" s="1" t="s">
        <v>67</v>
      </c>
      <c r="H18" s="1" t="s">
        <v>67</v>
      </c>
      <c r="I18" s="1">
        <v>5</v>
      </c>
      <c r="J18" s="1">
        <v>5</v>
      </c>
      <c r="K18" s="1">
        <v>5</v>
      </c>
      <c r="L18" s="1" t="s">
        <v>4</v>
      </c>
      <c r="M18" s="1" t="s">
        <v>67</v>
      </c>
      <c r="N18" s="1" t="s">
        <v>67</v>
      </c>
      <c r="O18" s="1" t="s">
        <v>67</v>
      </c>
      <c r="P18" s="1">
        <v>5</v>
      </c>
      <c r="Q18" s="1">
        <v>5</v>
      </c>
      <c r="R18" s="1">
        <v>5</v>
      </c>
      <c r="S18" s="1" t="s">
        <v>4</v>
      </c>
      <c r="T18" s="1" t="s">
        <v>67</v>
      </c>
      <c r="U18" s="1" t="s">
        <v>67</v>
      </c>
      <c r="V18" s="1" t="s">
        <v>67</v>
      </c>
      <c r="W18" s="1">
        <v>5</v>
      </c>
      <c r="X18" s="1">
        <v>5</v>
      </c>
      <c r="Y18" s="1">
        <v>5</v>
      </c>
      <c r="Z18" s="1" t="s">
        <v>4</v>
      </c>
      <c r="AA18" s="1" t="s">
        <v>67</v>
      </c>
      <c r="AB18" s="1" t="s">
        <v>67</v>
      </c>
      <c r="AC18" s="1" t="s">
        <v>67</v>
      </c>
      <c r="AD18" s="1">
        <v>5</v>
      </c>
      <c r="AE18" s="1">
        <v>5</v>
      </c>
      <c r="AF18" s="1">
        <v>5</v>
      </c>
      <c r="AG18" s="1" t="s">
        <v>4</v>
      </c>
      <c r="AH18" s="7">
        <f>SUM(Maart[[#This Row],[1]:[31]])</f>
        <v>70</v>
      </c>
    </row>
    <row r="19" spans="2:34" ht="30" customHeight="1" x14ac:dyDescent="0.25">
      <c r="B19" t="s">
        <v>69</v>
      </c>
      <c r="C19" s="1">
        <v>3.5</v>
      </c>
      <c r="D19" s="1">
        <v>3.5</v>
      </c>
      <c r="E19" s="1" t="s">
        <v>4</v>
      </c>
      <c r="F19" s="1" t="s">
        <v>67</v>
      </c>
      <c r="G19" s="1" t="s">
        <v>67</v>
      </c>
      <c r="H19" s="1" t="s">
        <v>67</v>
      </c>
      <c r="I19" s="1">
        <v>3.5</v>
      </c>
      <c r="J19" s="1">
        <v>3.5</v>
      </c>
      <c r="K19" s="1">
        <v>3.5</v>
      </c>
      <c r="L19" s="1" t="s">
        <v>4</v>
      </c>
      <c r="M19" s="1" t="s">
        <v>67</v>
      </c>
      <c r="N19" s="1" t="s">
        <v>67</v>
      </c>
      <c r="O19" s="1" t="s">
        <v>67</v>
      </c>
      <c r="P19" s="1" t="s">
        <v>67</v>
      </c>
      <c r="Q19" s="1">
        <v>3.5</v>
      </c>
      <c r="R19" s="1">
        <v>3.5</v>
      </c>
      <c r="S19" s="1" t="s">
        <v>4</v>
      </c>
      <c r="T19" s="1" t="s">
        <v>67</v>
      </c>
      <c r="U19" s="1" t="s">
        <v>67</v>
      </c>
      <c r="V19" s="1" t="s">
        <v>67</v>
      </c>
      <c r="W19" s="1">
        <v>3.5</v>
      </c>
      <c r="X19" s="1">
        <v>3.5</v>
      </c>
      <c r="Y19" s="1">
        <v>3.5</v>
      </c>
      <c r="Z19" s="1" t="s">
        <v>4</v>
      </c>
      <c r="AA19" s="1" t="s">
        <v>67</v>
      </c>
      <c r="AB19" s="1" t="s">
        <v>67</v>
      </c>
      <c r="AC19" s="1" t="s">
        <v>67</v>
      </c>
      <c r="AD19" s="1" t="s">
        <v>67</v>
      </c>
      <c r="AE19" s="1">
        <v>3.5</v>
      </c>
      <c r="AF19" s="1">
        <v>3.5</v>
      </c>
      <c r="AG19" s="1" t="s">
        <v>4</v>
      </c>
      <c r="AH19" s="7">
        <f>SUM(Maart[[#This Row],[1]:[31]])</f>
        <v>42</v>
      </c>
    </row>
    <row r="20" spans="2:34" ht="30" customHeight="1" x14ac:dyDescent="0.25">
      <c r="B20" s="16" t="str">
        <f>MonthName&amp;" Totaal"</f>
        <v>Maart Totaal</v>
      </c>
      <c r="C20" s="9">
        <f>SUM(Maart!C8:C19)</f>
        <v>36.5</v>
      </c>
      <c r="D20" s="9">
        <f>SUM(Maart!D8:D19)</f>
        <v>36.5</v>
      </c>
      <c r="E20" s="9">
        <f>SUM(Maart!E7:E19)</f>
        <v>0</v>
      </c>
      <c r="F20" s="9">
        <f>SUM(Maart!F7:F19)</f>
        <v>0</v>
      </c>
      <c r="G20" s="9">
        <f>SUM(Maart!G7:G19)</f>
        <v>0</v>
      </c>
      <c r="H20" s="9">
        <f>SUM(Maart!H7:H19)</f>
        <v>0</v>
      </c>
      <c r="I20" s="9">
        <f>SUM(Maart!I7:I19)</f>
        <v>25</v>
      </c>
      <c r="J20" s="9">
        <f>SUM(Maart!J7:J19)</f>
        <v>33</v>
      </c>
      <c r="K20" s="9">
        <f>SUM(Maart!K7:K19)</f>
        <v>36</v>
      </c>
      <c r="L20" s="9">
        <f>SUM(Maart!L7:L19)</f>
        <v>0</v>
      </c>
      <c r="M20" s="9">
        <f>SUM(Maart!M7:M19)</f>
        <v>0</v>
      </c>
      <c r="N20" s="9">
        <f>SUM(Maart!N7:N19)</f>
        <v>4</v>
      </c>
      <c r="O20" s="9">
        <f>SUM(Maart!O7:O19)</f>
        <v>4</v>
      </c>
      <c r="P20" s="9">
        <f>SUM(Maart!P7:P19)</f>
        <v>26</v>
      </c>
      <c r="Q20" s="9">
        <f>SUM(Maart!Q7:Q19)</f>
        <v>36.5</v>
      </c>
      <c r="R20" s="9">
        <f>SUM(Maart!R7:R19)</f>
        <v>36</v>
      </c>
      <c r="S20" s="9">
        <f>SUM(Maart!S7:S19)</f>
        <v>0</v>
      </c>
      <c r="T20" s="9">
        <f>SUM(Maart!T7:T19)</f>
        <v>0</v>
      </c>
      <c r="U20" s="9">
        <f>SUM(Maart!U7:U19)</f>
        <v>0</v>
      </c>
      <c r="V20" s="9">
        <f>SUM(Maart!V7:V19)</f>
        <v>0</v>
      </c>
      <c r="W20" s="9">
        <f>SUM(Maart!W7:W19)</f>
        <v>25</v>
      </c>
      <c r="X20" s="9">
        <f>SUM(Maart!X7:X19)</f>
        <v>36.5</v>
      </c>
      <c r="Y20" s="9">
        <f>SUM(Maart!Y7:Y19)</f>
        <v>36.5</v>
      </c>
      <c r="Z20" s="9">
        <f>SUM(Maart!Z7:Z19)</f>
        <v>0</v>
      </c>
      <c r="AA20" s="9">
        <f>SUM(Maart!AA7:AA19)</f>
        <v>0</v>
      </c>
      <c r="AB20" s="9">
        <f>SUM(Maart!AB7:AB19)</f>
        <v>4</v>
      </c>
      <c r="AC20" s="9">
        <f>SUM(Maart!AC7:AC19)</f>
        <v>4</v>
      </c>
      <c r="AD20" s="9">
        <f>SUM(Maart!AD7:AD19)</f>
        <v>29</v>
      </c>
      <c r="AE20" s="9">
        <f>SUM(Maart!AE7:AE19)</f>
        <v>36</v>
      </c>
      <c r="AF20" s="9">
        <f>SUM(Maart!AF7:AF19)</f>
        <v>36</v>
      </c>
      <c r="AG20" s="9">
        <f>SUM(Maart!AG7:AG19)</f>
        <v>0</v>
      </c>
      <c r="AH20" s="9">
        <f>SUBTOTAL(109,Maart[Totaal aantal uren])</f>
        <v>529.5</v>
      </c>
    </row>
  </sheetData>
  <mergeCells count="6">
    <mergeCell ref="C4:AG4"/>
    <mergeCell ref="D2:F2"/>
    <mergeCell ref="H2:J2"/>
    <mergeCell ref="L2:M2"/>
    <mergeCell ref="O2:Q2"/>
    <mergeCell ref="S2:U2"/>
  </mergeCells>
  <conditionalFormatting sqref="E7:E19">
    <cfRule type="expression" priority="97" stopIfTrue="1">
      <formula>E7=""</formula>
    </cfRule>
    <cfRule type="expression" dxfId="582" priority="102" stopIfTrue="1">
      <formula>E7=KeyVacation</formula>
    </cfRule>
    <cfRule type="expression" dxfId="581" priority="100" stopIfTrue="1">
      <formula>E7=KeySick</formula>
    </cfRule>
    <cfRule type="expression" dxfId="580" priority="98" stopIfTrue="1">
      <formula>E7=KeyCustom2</formula>
    </cfRule>
    <cfRule type="expression" dxfId="579" priority="99" stopIfTrue="1">
      <formula>E7=KeyCustom1</formula>
    </cfRule>
    <cfRule type="expression" dxfId="578" priority="101" stopIfTrue="1">
      <formula>E7=KeyPersonal</formula>
    </cfRule>
  </conditionalFormatting>
  <conditionalFormatting sqref="F7">
    <cfRule type="expression" dxfId="577" priority="65" stopIfTrue="1">
      <formula>F7=KeyPersonal</formula>
    </cfRule>
    <cfRule type="expression" priority="61" stopIfTrue="1">
      <formula>F7=""</formula>
    </cfRule>
    <cfRule type="expression" dxfId="576" priority="62" stopIfTrue="1">
      <formula>F7=KeyCustom2</formula>
    </cfRule>
    <cfRule type="expression" dxfId="575" priority="66" stopIfTrue="1">
      <formula>F7=KeyVacation</formula>
    </cfRule>
    <cfRule type="expression" dxfId="574" priority="64" stopIfTrue="1">
      <formula>F7=KeySick</formula>
    </cfRule>
    <cfRule type="expression" dxfId="573" priority="63" stopIfTrue="1">
      <formula>F7=KeyCustom1</formula>
    </cfRule>
  </conditionalFormatting>
  <conditionalFormatting sqref="F8:H19">
    <cfRule type="expression" dxfId="572" priority="56" stopIfTrue="1">
      <formula>F8=KeyCustom2</formula>
    </cfRule>
    <cfRule type="expression" dxfId="571" priority="57" stopIfTrue="1">
      <formula>F8=KeyCustom1</formula>
    </cfRule>
    <cfRule type="expression" dxfId="570" priority="60" stopIfTrue="1">
      <formula>F8=KeyVacation</formula>
    </cfRule>
    <cfRule type="expression" dxfId="569" priority="59" stopIfTrue="1">
      <formula>F8=KeyPersonal</formula>
    </cfRule>
    <cfRule type="expression" dxfId="568" priority="58" stopIfTrue="1">
      <formula>F8=KeySick</formula>
    </cfRule>
    <cfRule type="expression" priority="55" stopIfTrue="1">
      <formula>F8=""</formula>
    </cfRule>
  </conditionalFormatting>
  <conditionalFormatting sqref="G7:H7">
    <cfRule type="expression" dxfId="567" priority="72" stopIfTrue="1">
      <formula>G7=KeyVacation</formula>
    </cfRule>
    <cfRule type="expression" dxfId="566" priority="71" stopIfTrue="1">
      <formula>G7=KeyPersonal</formula>
    </cfRule>
    <cfRule type="expression" dxfId="565" priority="70" stopIfTrue="1">
      <formula>G7=KeySick</formula>
    </cfRule>
    <cfRule type="expression" priority="67" stopIfTrue="1">
      <formula>G7=""</formula>
    </cfRule>
    <cfRule type="expression" dxfId="564" priority="68" stopIfTrue="1">
      <formula>G7=KeyCustom2</formula>
    </cfRule>
    <cfRule type="expression" dxfId="563" priority="69" stopIfTrue="1">
      <formula>G7=KeyCustom1</formula>
    </cfRule>
  </conditionalFormatting>
  <conditionalFormatting sqref="I7:K19 C8:D19 Q11:R11 Q17:R17 P18:R18 Q19:R19">
    <cfRule type="expression" dxfId="562" priority="198" stopIfTrue="1">
      <formula>C7=KeyVacation</formula>
    </cfRule>
    <cfRule type="expression" priority="193" stopIfTrue="1">
      <formula>C7=""</formula>
    </cfRule>
    <cfRule type="expression" dxfId="561" priority="194" stopIfTrue="1">
      <formula>C7=KeyCustom2</formula>
    </cfRule>
    <cfRule type="expression" dxfId="560" priority="195" stopIfTrue="1">
      <formula>C7=KeyCustom1</formula>
    </cfRule>
    <cfRule type="expression" dxfId="559" priority="196" stopIfTrue="1">
      <formula>C7=KeySick</formula>
    </cfRule>
    <cfRule type="expression" dxfId="558" priority="197" stopIfTrue="1">
      <formula>C7=KeyPersonal</formula>
    </cfRule>
  </conditionalFormatting>
  <conditionalFormatting sqref="L7:L19">
    <cfRule type="expression" dxfId="557" priority="94" stopIfTrue="1">
      <formula>L7=KeySick</formula>
    </cfRule>
    <cfRule type="expression" dxfId="556" priority="95" stopIfTrue="1">
      <formula>L7=KeyPersonal</formula>
    </cfRule>
    <cfRule type="expression" dxfId="555" priority="96" stopIfTrue="1">
      <formula>L7=KeyVacation</formula>
    </cfRule>
    <cfRule type="expression" priority="91" stopIfTrue="1">
      <formula>L7=""</formula>
    </cfRule>
    <cfRule type="expression" dxfId="554" priority="92" stopIfTrue="1">
      <formula>L7=KeyCustom2</formula>
    </cfRule>
    <cfRule type="expression" dxfId="553" priority="93" stopIfTrue="1">
      <formula>L7=KeyCustom1</formula>
    </cfRule>
  </conditionalFormatting>
  <conditionalFormatting sqref="M7">
    <cfRule type="expression" priority="43" stopIfTrue="1">
      <formula>M7=""</formula>
    </cfRule>
    <cfRule type="expression" dxfId="552" priority="48" stopIfTrue="1">
      <formula>M7=KeyVacation</formula>
    </cfRule>
    <cfRule type="expression" dxfId="551" priority="47" stopIfTrue="1">
      <formula>M7=KeyPersonal</formula>
    </cfRule>
    <cfRule type="expression" dxfId="550" priority="46" stopIfTrue="1">
      <formula>M7=KeySick</formula>
    </cfRule>
    <cfRule type="expression" dxfId="549" priority="45" stopIfTrue="1">
      <formula>M7=KeyCustom1</formula>
    </cfRule>
    <cfRule type="expression" dxfId="548" priority="44" stopIfTrue="1">
      <formula>M7=KeyCustom2</formula>
    </cfRule>
  </conditionalFormatting>
  <conditionalFormatting sqref="N7:O7">
    <cfRule type="expression" dxfId="547" priority="52" stopIfTrue="1">
      <formula>N7=KeySick</formula>
    </cfRule>
    <cfRule type="expression" dxfId="546" priority="51" stopIfTrue="1">
      <formula>N7=KeyCustom1</formula>
    </cfRule>
    <cfRule type="expression" dxfId="545" priority="50" stopIfTrue="1">
      <formula>N7=KeyCustom2</formula>
    </cfRule>
    <cfRule type="expression" priority="49" stopIfTrue="1">
      <formula>N7=""</formula>
    </cfRule>
    <cfRule type="expression" dxfId="544" priority="54" stopIfTrue="1">
      <formula>N7=KeyVacation</formula>
    </cfRule>
    <cfRule type="expression" dxfId="543" priority="53" stopIfTrue="1">
      <formula>N7=KeyPersonal</formula>
    </cfRule>
  </conditionalFormatting>
  <conditionalFormatting sqref="P7:R10 M8:O19 P11 P12:R16 P17 P19">
    <cfRule type="expression" priority="37" stopIfTrue="1">
      <formula>M7=""</formula>
    </cfRule>
    <cfRule type="expression" dxfId="542" priority="38" stopIfTrue="1">
      <formula>M7=KeyCustom2</formula>
    </cfRule>
    <cfRule type="expression" dxfId="541" priority="39" stopIfTrue="1">
      <formula>M7=KeyCustom1</formula>
    </cfRule>
    <cfRule type="expression" dxfId="540" priority="40" stopIfTrue="1">
      <formula>M7=KeySick</formula>
    </cfRule>
    <cfRule type="expression" dxfId="539" priority="41" stopIfTrue="1">
      <formula>M7=KeyPersonal</formula>
    </cfRule>
    <cfRule type="expression" dxfId="538" priority="42" stopIfTrue="1">
      <formula>M7=KeyVacation</formula>
    </cfRule>
  </conditionalFormatting>
  <conditionalFormatting sqref="S7:S19">
    <cfRule type="expression" priority="85" stopIfTrue="1">
      <formula>S7=""</formula>
    </cfRule>
    <cfRule type="expression" dxfId="537" priority="86" stopIfTrue="1">
      <formula>S7=KeyCustom2</formula>
    </cfRule>
    <cfRule type="expression" dxfId="536" priority="87" stopIfTrue="1">
      <formula>S7=KeyCustom1</formula>
    </cfRule>
    <cfRule type="expression" dxfId="535" priority="88" stopIfTrue="1">
      <formula>S7=KeySick</formula>
    </cfRule>
    <cfRule type="expression" dxfId="534" priority="90" stopIfTrue="1">
      <formula>S7=KeyVacation</formula>
    </cfRule>
    <cfRule type="expression" dxfId="533" priority="89" stopIfTrue="1">
      <formula>S7=KeyPersonal</formula>
    </cfRule>
  </conditionalFormatting>
  <conditionalFormatting sqref="T7">
    <cfRule type="expression" dxfId="532" priority="27" stopIfTrue="1">
      <formula>T7=KeyCustom1</formula>
    </cfRule>
    <cfRule type="expression" dxfId="531" priority="30" stopIfTrue="1">
      <formula>T7=KeyVacation</formula>
    </cfRule>
    <cfRule type="expression" dxfId="530" priority="29" stopIfTrue="1">
      <formula>T7=KeyPersonal</formula>
    </cfRule>
    <cfRule type="expression" dxfId="529" priority="28" stopIfTrue="1">
      <formula>T7=KeySick</formula>
    </cfRule>
    <cfRule type="expression" dxfId="528" priority="26" stopIfTrue="1">
      <formula>T7=KeyCustom2</formula>
    </cfRule>
    <cfRule type="expression" priority="25" stopIfTrue="1">
      <formula>T7=""</formula>
    </cfRule>
  </conditionalFormatting>
  <conditionalFormatting sqref="U7:V7">
    <cfRule type="expression" dxfId="527" priority="36" stopIfTrue="1">
      <formula>U7=KeyVacation</formula>
    </cfRule>
    <cfRule type="expression" dxfId="526" priority="35" stopIfTrue="1">
      <formula>U7=KeyPersonal</formula>
    </cfRule>
    <cfRule type="expression" dxfId="525" priority="34" stopIfTrue="1">
      <formula>U7=KeySick</formula>
    </cfRule>
    <cfRule type="expression" dxfId="524" priority="33" stopIfTrue="1">
      <formula>U7=KeyCustom1</formula>
    </cfRule>
    <cfRule type="expression" dxfId="523" priority="32" stopIfTrue="1">
      <formula>U7=KeyCustom2</formula>
    </cfRule>
    <cfRule type="expression" priority="31" stopIfTrue="1">
      <formula>U7=""</formula>
    </cfRule>
  </conditionalFormatting>
  <conditionalFormatting sqref="W7:Y19 T8:V19">
    <cfRule type="expression" dxfId="522" priority="23" stopIfTrue="1">
      <formula>T7=KeyPersonal</formula>
    </cfRule>
    <cfRule type="expression" dxfId="521" priority="22" stopIfTrue="1">
      <formula>T7=KeySick</formula>
    </cfRule>
    <cfRule type="expression" dxfId="520" priority="21" stopIfTrue="1">
      <formula>T7=KeyCustom1</formula>
    </cfRule>
    <cfRule type="expression" dxfId="519" priority="20" stopIfTrue="1">
      <formula>T7=KeyCustom2</formula>
    </cfRule>
    <cfRule type="expression" priority="19" stopIfTrue="1">
      <formula>T7=""</formula>
    </cfRule>
    <cfRule type="expression" dxfId="518" priority="24" stopIfTrue="1">
      <formula>T7=KeyVacation</formula>
    </cfRule>
  </conditionalFormatting>
  <conditionalFormatting sqref="Z7:Z19">
    <cfRule type="expression" dxfId="517" priority="83" stopIfTrue="1">
      <formula>Z7=KeyPersonal</formula>
    </cfRule>
    <cfRule type="expression" dxfId="516" priority="84" stopIfTrue="1">
      <formula>Z7=KeyVacation</formula>
    </cfRule>
    <cfRule type="expression" priority="79" stopIfTrue="1">
      <formula>Z7=""</formula>
    </cfRule>
    <cfRule type="expression" dxfId="515" priority="80" stopIfTrue="1">
      <formula>Z7=KeyCustom2</formula>
    </cfRule>
    <cfRule type="expression" dxfId="514" priority="81" stopIfTrue="1">
      <formula>Z7=KeyCustom1</formula>
    </cfRule>
    <cfRule type="expression" dxfId="513" priority="82" stopIfTrue="1">
      <formula>Z7=KeySick</formula>
    </cfRule>
  </conditionalFormatting>
  <conditionalFormatting sqref="AA7">
    <cfRule type="expression" dxfId="512" priority="12" stopIfTrue="1">
      <formula>AA7=KeyVacation</formula>
    </cfRule>
    <cfRule type="expression" dxfId="511" priority="11" stopIfTrue="1">
      <formula>AA7=KeyPersonal</formula>
    </cfRule>
    <cfRule type="expression" dxfId="510" priority="10" stopIfTrue="1">
      <formula>AA7=KeySick</formula>
    </cfRule>
    <cfRule type="expression" dxfId="509" priority="9" stopIfTrue="1">
      <formula>AA7=KeyCustom1</formula>
    </cfRule>
    <cfRule type="expression" dxfId="508" priority="8" stopIfTrue="1">
      <formula>AA7=KeyCustom2</formula>
    </cfRule>
    <cfRule type="expression" priority="7" stopIfTrue="1">
      <formula>AA7=""</formula>
    </cfRule>
  </conditionalFormatting>
  <conditionalFormatting sqref="AB7:AC7">
    <cfRule type="expression" priority="13" stopIfTrue="1">
      <formula>AB7=""</formula>
    </cfRule>
    <cfRule type="expression" dxfId="507" priority="14" stopIfTrue="1">
      <formula>AB7=KeyCustom2</formula>
    </cfRule>
    <cfRule type="expression" dxfId="506" priority="18" stopIfTrue="1">
      <formula>AB7=KeyVacation</formula>
    </cfRule>
    <cfRule type="expression" dxfId="505" priority="17" stopIfTrue="1">
      <formula>AB7=KeyPersonal</formula>
    </cfRule>
    <cfRule type="expression" dxfId="504" priority="16" stopIfTrue="1">
      <formula>AB7=KeySick</formula>
    </cfRule>
    <cfRule type="expression" dxfId="503" priority="15" stopIfTrue="1">
      <formula>AB7=KeyCustom1</formula>
    </cfRule>
  </conditionalFormatting>
  <conditionalFormatting sqref="AD7:AF19 AA8:AC19">
    <cfRule type="expression" dxfId="502" priority="6" stopIfTrue="1">
      <formula>AA7=KeyVacation</formula>
    </cfRule>
    <cfRule type="expression" dxfId="501" priority="5" stopIfTrue="1">
      <formula>AA7=KeyPersonal</formula>
    </cfRule>
    <cfRule type="expression" dxfId="500" priority="4" stopIfTrue="1">
      <formula>AA7=KeySick</formula>
    </cfRule>
    <cfRule type="expression" dxfId="499" priority="3" stopIfTrue="1">
      <formula>AA7=KeyCustom1</formula>
    </cfRule>
    <cfRule type="expression" priority="1" stopIfTrue="1">
      <formula>AA7=""</formula>
    </cfRule>
    <cfRule type="expression" dxfId="498" priority="2" stopIfTrue="1">
      <formula>AA7=KeyCustom2</formula>
    </cfRule>
  </conditionalFormatting>
  <conditionalFormatting sqref="AG7:AG19">
    <cfRule type="expression" priority="73" stopIfTrue="1">
      <formula>AG7=""</formula>
    </cfRule>
    <cfRule type="expression" dxfId="497" priority="74" stopIfTrue="1">
      <formula>AG7=KeyCustom2</formula>
    </cfRule>
    <cfRule type="expression" dxfId="496" priority="75" stopIfTrue="1">
      <formula>AG7=KeyCustom1</formula>
    </cfRule>
    <cfRule type="expression" dxfId="495" priority="76" stopIfTrue="1">
      <formula>AG7=KeySick</formula>
    </cfRule>
    <cfRule type="expression" dxfId="494" priority="77" stopIfTrue="1">
      <formula>AG7=KeyPersonal</formula>
    </cfRule>
    <cfRule type="expression" dxfId="493" priority="78" stopIfTrue="1">
      <formula>AG7=KeyVacation</formula>
    </cfRule>
  </conditionalFormatting>
  <conditionalFormatting sqref="AH7:AH14 AH16:AH19">
    <cfRule type="dataBar" priority="260">
      <dataBar>
        <cfvo type="num" val="0"/>
        <cfvo type="num" val="31"/>
        <color theme="2" tint="-0.249977111117893"/>
      </dataBar>
      <extLst>
        <ext xmlns:x14="http://schemas.microsoft.com/office/spreadsheetml/2009/9/main" uri="{B025F937-C7B1-47D3-B67F-A62EFF666E3E}">
          <x14:id>{17421044-1633-4989-B988-DD85E5D37AF2}</x14:id>
        </ext>
      </extLst>
    </cfRule>
  </conditionalFormatting>
  <conditionalFormatting sqref="AH15">
    <cfRule type="dataBar" priority="229">
      <dataBar>
        <cfvo type="num" val="0"/>
        <cfvo type="num" val="31"/>
        <color theme="2" tint="-0.249977111117893"/>
      </dataBar>
      <extLst>
        <ext xmlns:x14="http://schemas.microsoft.com/office/spreadsheetml/2009/9/main" uri="{B025F937-C7B1-47D3-B67F-A62EFF666E3E}">
          <x14:id>{DC4B277D-712B-4C6F-977B-F756F78BB02B}</x14:id>
        </ext>
      </extLst>
    </cfRule>
  </conditionalFormatting>
  <dataValidations count="14">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200-000000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200-000001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200-000002000000}"/>
    <dataValidation allowBlank="1" showInputMessage="1" showErrorMessage="1" prompt="Deze rij definieert de sleutels die worden gebruikt in de tabel: cel C2 is Vakantie, G2 is Persoonlijk en K2 is Ziekteverlof. De cellen N2 en R2 kunnen worden aangepast" sqref="B2" xr:uid="{00000000-0002-0000-0200-000003000000}"/>
    <dataValidation allowBlank="1" showInputMessage="1" showErrorMessage="1" prompt="Voer links een label in om de aangepaste sleutel te beschrijven" sqref="O2:Q2 S2:U2" xr:uid="{00000000-0002-0000-0200-000004000000}"/>
    <dataValidation allowBlank="1" showInputMessage="1" showErrorMessage="1" prompt="Voer een letter in en pas rechts het label aan om een ander sleutelitem toe te voegen" sqref="N2 R2" xr:uid="{00000000-0002-0000-0200-000005000000}"/>
    <dataValidation allowBlank="1" showInputMessage="1" showErrorMessage="1" prompt="De letter &quot;Z&quot; geeft afwezigheid vanwege ziekte aan" sqref="K2" xr:uid="{00000000-0002-0000-0200-000006000000}"/>
    <dataValidation allowBlank="1" showInputMessage="1" showErrorMessage="1" prompt="De letter &quot;P&quot; geeft afwezigheid vanwege persoonlijke redenen aan" sqref="G2" xr:uid="{00000000-0002-0000-0200-000007000000}"/>
    <dataValidation allowBlank="1" showInputMessage="1" showErrorMessage="1" prompt="De letter &quot;V&quot; geeft afwezigheid vanwege vakantie aan" sqref="C2" xr:uid="{00000000-0002-0000-0200-000008000000}"/>
    <dataValidation allowBlank="1" showInputMessage="1" showErrorMessage="1" prompt="De titel wordt automatisch bijgewerkt in deze cel. Als u de titel wilt wijzigen, werk B1 in het januari-werkblad bij" sqref="B1" xr:uid="{00000000-0002-0000-0200-000009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200-00000A000000}"/>
    <dataValidation allowBlank="1" showInputMessage="1" showErrorMessage="1" prompt="Houd de afwezigheid in maart in dit werkblad bij" sqref="A1" xr:uid="{00000000-0002-0000-0200-00000B000000}"/>
    <dataValidation allowBlank="1" showInputMessage="1" showErrorMessage="1" prompt="Berekent automatisch het totaal aantal dagen die een werknemer in deze maand niet aanwezig was in deze kolom" sqref="AH6" xr:uid="{00000000-0002-0000-0200-00000C000000}"/>
    <dataValidation allowBlank="1" showInputMessage="1" showErrorMessage="1" prompt="Automatisch bijgewerkt jaar op basis van het jaar dat in het werkblad januari is ingevoerd" sqref="AH4" xr:uid="{00000000-0002-0000-02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421044-1633-4989-B988-DD85E5D37AF2}">
            <x14:dataBar minLength="0" maxLength="100">
              <x14:cfvo type="num">
                <xm:f>0</xm:f>
              </x14:cfvo>
              <x14:cfvo type="num">
                <xm:f>31</xm:f>
              </x14:cfvo>
              <x14:negativeFillColor rgb="FFFF0000"/>
              <x14:axisColor rgb="FF000000"/>
            </x14:dataBar>
          </x14:cfRule>
          <xm:sqref>AH7:AH14 AH16:AH19</xm:sqref>
        </x14:conditionalFormatting>
        <x14:conditionalFormatting xmlns:xm="http://schemas.microsoft.com/office/excel/2006/main">
          <x14:cfRule type="dataBar" id="{DC4B277D-712B-4C6F-977B-F756F78BB02B}">
            <x14:dataBar minLength="0" maxLength="100">
              <x14:cfvo type="num">
                <xm:f>0</xm:f>
              </x14:cfvo>
              <x14:cfvo type="num">
                <xm:f>31</xm:f>
              </x14:cfvo>
              <x14:negativeFillColor rgb="FFFF0000"/>
              <x14:axisColor rgb="FF000000"/>
            </x14:dataBar>
          </x14:cfRule>
          <xm:sqref>AH15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theme="2" tint="-0.249977111117893"/>
    <pageSetUpPr fitToPage="1"/>
  </sheetPr>
  <dimension ref="B1:AH19"/>
  <sheetViews>
    <sheetView showGridLines="0" zoomScaleNormal="100" workbookViewId="0">
      <selection activeCell="X14" sqref="X14"/>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49</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TEXT(WEEKDAY(DATE(CalendarYear,4,1),1),"aaa")</f>
        <v>di</v>
      </c>
      <c r="D5" s="1" t="str">
        <f>TEXT(WEEKDAY(DATE(CalendarYear,4,2),1),"aaa")</f>
        <v>wo</v>
      </c>
      <c r="E5" s="1" t="str">
        <f>TEXT(WEEKDAY(DATE(CalendarYear,4,3),1),"aaa")</f>
        <v>do</v>
      </c>
      <c r="F5" s="1" t="str">
        <f>TEXT(WEEKDAY(DATE(CalendarYear,4,4),1),"aaa")</f>
        <v>vr</v>
      </c>
      <c r="G5" s="1" t="str">
        <f>TEXT(WEEKDAY(DATE(CalendarYear,4,5),1),"aaa")</f>
        <v>za</v>
      </c>
      <c r="H5" s="1" t="str">
        <f>TEXT(WEEKDAY(DATE(CalendarYear,4,6),1),"aaa")</f>
        <v>zo</v>
      </c>
      <c r="I5" s="1" t="str">
        <f>TEXT(WEEKDAY(DATE(CalendarYear,4,7),1),"aaa")</f>
        <v>ma</v>
      </c>
      <c r="J5" s="1" t="str">
        <f>TEXT(WEEKDAY(DATE(CalendarYear,4,8),1),"aaa")</f>
        <v>di</v>
      </c>
      <c r="K5" s="1" t="str">
        <f>TEXT(WEEKDAY(DATE(CalendarYear,4,9),1),"aaa")</f>
        <v>wo</v>
      </c>
      <c r="L5" s="1" t="str">
        <f>TEXT(WEEKDAY(DATE(CalendarYear,4,10),1),"aaa")</f>
        <v>do</v>
      </c>
      <c r="M5" s="1" t="str">
        <f>TEXT(WEEKDAY(DATE(CalendarYear,4,11),1),"aaa")</f>
        <v>vr</v>
      </c>
      <c r="N5" s="1" t="str">
        <f>TEXT(WEEKDAY(DATE(CalendarYear,4,12),1),"aaa")</f>
        <v>za</v>
      </c>
      <c r="O5" s="1" t="str">
        <f>TEXT(WEEKDAY(DATE(CalendarYear,4,13),1),"aaa")</f>
        <v>zo</v>
      </c>
      <c r="P5" s="1" t="str">
        <f>TEXT(WEEKDAY(DATE(CalendarYear,4,14),1),"aaa")</f>
        <v>ma</v>
      </c>
      <c r="Q5" s="1" t="str">
        <f>TEXT(WEEKDAY(DATE(CalendarYear,4,15),1),"aaa")</f>
        <v>di</v>
      </c>
      <c r="R5" s="1" t="str">
        <f>TEXT(WEEKDAY(DATE(CalendarYear,4,16),1),"aaa")</f>
        <v>wo</v>
      </c>
      <c r="S5" s="1" t="str">
        <f>TEXT(WEEKDAY(DATE(CalendarYear,4,17),1),"aaa")</f>
        <v>do</v>
      </c>
      <c r="T5" s="1" t="str">
        <f>TEXT(WEEKDAY(DATE(CalendarYear,4,18),1),"aaa")</f>
        <v>vr</v>
      </c>
      <c r="U5" s="1" t="str">
        <f>TEXT(WEEKDAY(DATE(CalendarYear,4,19),1),"aaa")</f>
        <v>za</v>
      </c>
      <c r="V5" s="1" t="str">
        <f>TEXT(WEEKDAY(DATE(CalendarYear,4,20),1),"aaa")</f>
        <v>zo</v>
      </c>
      <c r="W5" s="1" t="str">
        <f>TEXT(WEEKDAY(DATE(CalendarYear,4,21),1),"aaa")</f>
        <v>ma</v>
      </c>
      <c r="X5" s="1" t="str">
        <f>TEXT(WEEKDAY(DATE(CalendarYear,4,22),1),"aaa")</f>
        <v>di</v>
      </c>
      <c r="Y5" s="1" t="str">
        <f>TEXT(WEEKDAY(DATE(CalendarYear,4,23),1),"aaa")</f>
        <v>wo</v>
      </c>
      <c r="Z5" s="1" t="str">
        <f>TEXT(WEEKDAY(DATE(CalendarYear,4,24),1),"aaa")</f>
        <v>do</v>
      </c>
      <c r="AA5" s="1" t="str">
        <f>TEXT(WEEKDAY(DATE(CalendarYear,4,25),1),"aaa")</f>
        <v>vr</v>
      </c>
      <c r="AB5" s="1" t="str">
        <f>TEXT(WEEKDAY(DATE(CalendarYear,4,26),1),"aaa")</f>
        <v>za</v>
      </c>
      <c r="AC5" s="1" t="str">
        <f>TEXT(WEEKDAY(DATE(CalendarYear,4,27),1),"aaa")</f>
        <v>zo</v>
      </c>
      <c r="AD5" s="1" t="str">
        <f>TEXT(WEEKDAY(DATE(CalendarYear,4,28),1),"aaa")</f>
        <v>ma</v>
      </c>
      <c r="AE5" s="1" t="str">
        <f>TEXT(WEEKDAY(DATE(CalendarYear,4,29),1),"aaa")</f>
        <v>di</v>
      </c>
      <c r="AF5" s="1" t="str">
        <f>TEXT(WEEKDAY(DATE(CalendarYear,4,30),1),"aaa")</f>
        <v>wo</v>
      </c>
      <c r="AG5" s="1"/>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8" t="s">
        <v>46</v>
      </c>
      <c r="AH6" s="12" t="s">
        <v>68</v>
      </c>
    </row>
    <row r="7" spans="2:34" ht="30" customHeight="1" x14ac:dyDescent="0.25">
      <c r="B7" t="s">
        <v>65</v>
      </c>
      <c r="C7" s="1" t="s">
        <v>67</v>
      </c>
      <c r="D7" s="1" t="s">
        <v>67</v>
      </c>
      <c r="E7" s="1" t="s">
        <v>67</v>
      </c>
      <c r="F7" s="1">
        <v>3.5</v>
      </c>
      <c r="G7" s="1">
        <v>3.5</v>
      </c>
      <c r="H7" s="1">
        <v>3.5</v>
      </c>
      <c r="I7" s="1" t="s">
        <v>4</v>
      </c>
      <c r="J7" s="1" t="s">
        <v>67</v>
      </c>
      <c r="K7" s="1" t="s">
        <v>67</v>
      </c>
      <c r="L7" s="1" t="s">
        <v>67</v>
      </c>
      <c r="M7" s="1">
        <v>3.5</v>
      </c>
      <c r="N7" s="1">
        <v>3.5</v>
      </c>
      <c r="O7" s="1">
        <v>3.5</v>
      </c>
      <c r="P7" s="1" t="s">
        <v>4</v>
      </c>
      <c r="Q7" s="1" t="s">
        <v>67</v>
      </c>
      <c r="R7" s="1" t="s">
        <v>67</v>
      </c>
      <c r="S7" s="1" t="s">
        <v>67</v>
      </c>
      <c r="T7" s="1" t="s">
        <v>4</v>
      </c>
      <c r="U7" s="1" t="s">
        <v>4</v>
      </c>
      <c r="V7" s="1" t="s">
        <v>4</v>
      </c>
      <c r="W7" s="1" t="s">
        <v>4</v>
      </c>
      <c r="X7" s="1" t="s">
        <v>67</v>
      </c>
      <c r="Y7" s="1" t="s">
        <v>67</v>
      </c>
      <c r="Z7" s="1" t="s">
        <v>67</v>
      </c>
      <c r="AA7" s="1">
        <v>3.5</v>
      </c>
      <c r="AB7" s="1">
        <v>3.5</v>
      </c>
      <c r="AC7" s="1">
        <v>3.5</v>
      </c>
      <c r="AD7" s="1" t="s">
        <v>4</v>
      </c>
      <c r="AE7" s="1" t="s">
        <v>67</v>
      </c>
      <c r="AF7" s="1" t="s">
        <v>67</v>
      </c>
      <c r="AG7" s="1"/>
      <c r="AH7" s="7">
        <f>SUM(April[[#This Row],[1]:[ ]])</f>
        <v>31.5</v>
      </c>
    </row>
    <row r="8" spans="2:34" ht="30" customHeight="1" x14ac:dyDescent="0.25">
      <c r="B8" t="s">
        <v>61</v>
      </c>
      <c r="C8" s="1" t="s">
        <v>67</v>
      </c>
      <c r="D8" s="1" t="s">
        <v>67</v>
      </c>
      <c r="E8" s="1" t="s">
        <v>67</v>
      </c>
      <c r="F8" s="1">
        <v>4</v>
      </c>
      <c r="G8" s="1" t="s">
        <v>4</v>
      </c>
      <c r="H8" s="1">
        <v>4</v>
      </c>
      <c r="I8" s="1" t="s">
        <v>4</v>
      </c>
      <c r="J8" s="1" t="s">
        <v>67</v>
      </c>
      <c r="K8" s="1" t="s">
        <v>67</v>
      </c>
      <c r="L8" s="1" t="s">
        <v>67</v>
      </c>
      <c r="M8" s="1">
        <v>4</v>
      </c>
      <c r="N8" s="1">
        <v>4</v>
      </c>
      <c r="O8" s="1">
        <v>4</v>
      </c>
      <c r="P8" s="1" t="s">
        <v>4</v>
      </c>
      <c r="Q8" s="1" t="s">
        <v>67</v>
      </c>
      <c r="R8" s="1" t="s">
        <v>67</v>
      </c>
      <c r="S8" s="1" t="s">
        <v>67</v>
      </c>
      <c r="T8" s="1" t="s">
        <v>67</v>
      </c>
      <c r="U8" s="1" t="s">
        <v>67</v>
      </c>
      <c r="V8" s="1" t="s">
        <v>67</v>
      </c>
      <c r="W8" s="1" t="s">
        <v>4</v>
      </c>
      <c r="X8" s="1" t="s">
        <v>67</v>
      </c>
      <c r="Y8" s="1" t="s">
        <v>67</v>
      </c>
      <c r="Z8" s="1" t="s">
        <v>67</v>
      </c>
      <c r="AA8" s="1" t="s">
        <v>67</v>
      </c>
      <c r="AB8" s="1" t="s">
        <v>67</v>
      </c>
      <c r="AC8" s="1" t="s">
        <v>67</v>
      </c>
      <c r="AD8" s="1" t="s">
        <v>4</v>
      </c>
      <c r="AE8" s="1" t="s">
        <v>67</v>
      </c>
      <c r="AF8" s="1" t="s">
        <v>67</v>
      </c>
      <c r="AG8" s="1"/>
      <c r="AH8" s="7">
        <f>SUM(April[[#This Row],[1]:[ ]])</f>
        <v>20</v>
      </c>
    </row>
    <row r="9" spans="2:34" ht="30" customHeight="1" x14ac:dyDescent="0.25">
      <c r="B9" s="19" t="s">
        <v>77</v>
      </c>
      <c r="C9" s="1" t="s">
        <v>67</v>
      </c>
      <c r="D9" s="1" t="s">
        <v>67</v>
      </c>
      <c r="E9" s="1" t="s">
        <v>67</v>
      </c>
      <c r="F9" s="1">
        <v>3.5</v>
      </c>
      <c r="G9" s="1">
        <v>3.5</v>
      </c>
      <c r="H9" s="1">
        <v>3.5</v>
      </c>
      <c r="I9" s="1" t="s">
        <v>4</v>
      </c>
      <c r="J9" s="1" t="s">
        <v>67</v>
      </c>
      <c r="K9" s="1" t="s">
        <v>67</v>
      </c>
      <c r="L9" s="1" t="s">
        <v>67</v>
      </c>
      <c r="M9" s="1" t="s">
        <v>67</v>
      </c>
      <c r="N9" s="1">
        <v>3.5</v>
      </c>
      <c r="O9" s="1">
        <v>3.5</v>
      </c>
      <c r="P9" s="1" t="s">
        <v>4</v>
      </c>
      <c r="Q9" s="1" t="s">
        <v>67</v>
      </c>
      <c r="R9" s="1" t="s">
        <v>67</v>
      </c>
      <c r="S9" s="1" t="s">
        <v>67</v>
      </c>
      <c r="T9" s="1">
        <v>3.5</v>
      </c>
      <c r="U9" s="1">
        <v>3.5</v>
      </c>
      <c r="V9" s="1">
        <v>3.5</v>
      </c>
      <c r="W9" s="1">
        <v>3.5</v>
      </c>
      <c r="X9" s="1" t="s">
        <v>67</v>
      </c>
      <c r="Y9" s="1" t="s">
        <v>67</v>
      </c>
      <c r="Z9" s="1" t="s">
        <v>67</v>
      </c>
      <c r="AA9" s="1" t="s">
        <v>67</v>
      </c>
      <c r="AB9" s="1">
        <v>3.5</v>
      </c>
      <c r="AC9" s="1">
        <v>3.5</v>
      </c>
      <c r="AD9" s="1" t="s">
        <v>4</v>
      </c>
      <c r="AE9" s="1" t="s">
        <v>67</v>
      </c>
      <c r="AF9" s="1" t="s">
        <v>67</v>
      </c>
      <c r="AG9" s="1"/>
      <c r="AH9" s="7">
        <f>SUM(April[[#This Row],[1]:[ ]])</f>
        <v>38.5</v>
      </c>
    </row>
    <row r="10" spans="2:34" ht="30" customHeight="1" x14ac:dyDescent="0.25">
      <c r="B10" s="20" t="s">
        <v>76</v>
      </c>
      <c r="C10" s="1" t="s">
        <v>67</v>
      </c>
      <c r="D10" s="1" t="s">
        <v>67</v>
      </c>
      <c r="E10" s="1" t="s">
        <v>67</v>
      </c>
      <c r="F10" s="1">
        <v>5</v>
      </c>
      <c r="G10" s="1">
        <v>5</v>
      </c>
      <c r="H10" s="1">
        <v>5</v>
      </c>
      <c r="I10" s="1" t="s">
        <v>4</v>
      </c>
      <c r="J10" s="1" t="s">
        <v>67</v>
      </c>
      <c r="K10" s="1" t="s">
        <v>67</v>
      </c>
      <c r="L10" s="1" t="s">
        <v>67</v>
      </c>
      <c r="M10" s="1">
        <v>5</v>
      </c>
      <c r="N10" s="1">
        <v>5</v>
      </c>
      <c r="O10" s="1">
        <v>5</v>
      </c>
      <c r="P10" s="1" t="s">
        <v>4</v>
      </c>
      <c r="Q10" s="1" t="s">
        <v>67</v>
      </c>
      <c r="R10" s="1" t="s">
        <v>67</v>
      </c>
      <c r="S10" s="1" t="s">
        <v>67</v>
      </c>
      <c r="T10" s="1">
        <v>5</v>
      </c>
      <c r="U10" s="1">
        <v>5</v>
      </c>
      <c r="V10" s="1">
        <v>5</v>
      </c>
      <c r="W10" s="1">
        <v>5</v>
      </c>
      <c r="X10" s="1" t="s">
        <v>67</v>
      </c>
      <c r="Y10" s="1" t="s">
        <v>67</v>
      </c>
      <c r="Z10" s="1" t="s">
        <v>67</v>
      </c>
      <c r="AA10" s="1">
        <v>5</v>
      </c>
      <c r="AB10" s="1">
        <v>5</v>
      </c>
      <c r="AC10" s="1">
        <v>5</v>
      </c>
      <c r="AD10" s="1" t="s">
        <v>4</v>
      </c>
      <c r="AE10" s="1" t="s">
        <v>67</v>
      </c>
      <c r="AF10" s="1" t="s">
        <v>67</v>
      </c>
      <c r="AG10" s="1"/>
      <c r="AH10" s="7">
        <f>SUM(April[[#This Row],[1]:[ ]])</f>
        <v>65</v>
      </c>
    </row>
    <row r="11" spans="2:34" ht="30" customHeight="1" x14ac:dyDescent="0.25">
      <c r="B11" t="s">
        <v>64</v>
      </c>
      <c r="C11" s="1" t="s">
        <v>67</v>
      </c>
      <c r="D11" s="1" t="s">
        <v>67</v>
      </c>
      <c r="E11" s="1" t="s">
        <v>67</v>
      </c>
      <c r="F11" s="1" t="s">
        <v>67</v>
      </c>
      <c r="G11" s="1">
        <v>4</v>
      </c>
      <c r="H11" s="1">
        <v>4</v>
      </c>
      <c r="I11" s="1" t="s">
        <v>4</v>
      </c>
      <c r="J11" s="1" t="s">
        <v>67</v>
      </c>
      <c r="K11" s="1">
        <v>4</v>
      </c>
      <c r="L11" s="1">
        <v>4</v>
      </c>
      <c r="M11" s="1">
        <v>4</v>
      </c>
      <c r="N11" s="1" t="s">
        <v>4</v>
      </c>
      <c r="O11" s="1">
        <v>4</v>
      </c>
      <c r="P11" s="1" t="s">
        <v>4</v>
      </c>
      <c r="Q11" s="1" t="s">
        <v>67</v>
      </c>
      <c r="R11" s="1" t="s">
        <v>67</v>
      </c>
      <c r="S11" s="1" t="s">
        <v>67</v>
      </c>
      <c r="T11" s="1" t="s">
        <v>67</v>
      </c>
      <c r="U11" s="1">
        <v>4</v>
      </c>
      <c r="V11" s="1">
        <v>4</v>
      </c>
      <c r="W11" s="1">
        <v>4</v>
      </c>
      <c r="X11" s="1" t="s">
        <v>67</v>
      </c>
      <c r="Y11" s="1">
        <v>4</v>
      </c>
      <c r="Z11" s="1">
        <v>4</v>
      </c>
      <c r="AA11" s="1">
        <v>4</v>
      </c>
      <c r="AB11" s="1">
        <v>4</v>
      </c>
      <c r="AC11" s="1">
        <v>4</v>
      </c>
      <c r="AD11" s="1" t="s">
        <v>4</v>
      </c>
      <c r="AE11" s="1" t="s">
        <v>67</v>
      </c>
      <c r="AF11" s="1" t="s">
        <v>67</v>
      </c>
      <c r="AG11" s="1"/>
      <c r="AH11" s="7">
        <f>SUM(April[[#This Row],[1]:[ ]])</f>
        <v>56</v>
      </c>
    </row>
    <row r="12" spans="2:34" ht="30" customHeight="1" x14ac:dyDescent="0.25">
      <c r="B12" t="s">
        <v>71</v>
      </c>
      <c r="C12" s="1" t="s">
        <v>67</v>
      </c>
      <c r="D12" s="1" t="s">
        <v>67</v>
      </c>
      <c r="E12" s="1" t="s">
        <v>67</v>
      </c>
      <c r="F12" s="1">
        <v>5</v>
      </c>
      <c r="G12" s="1">
        <v>5</v>
      </c>
      <c r="H12" s="1">
        <v>5</v>
      </c>
      <c r="I12" s="1" t="s">
        <v>4</v>
      </c>
      <c r="J12" s="1" t="s">
        <v>67</v>
      </c>
      <c r="K12" s="1" t="s">
        <v>67</v>
      </c>
      <c r="L12" s="1" t="s">
        <v>67</v>
      </c>
      <c r="M12" s="1">
        <v>5</v>
      </c>
      <c r="N12" s="1">
        <v>5</v>
      </c>
      <c r="O12" s="1">
        <v>5</v>
      </c>
      <c r="P12" s="1" t="s">
        <v>4</v>
      </c>
      <c r="Q12" s="1" t="s">
        <v>67</v>
      </c>
      <c r="R12" s="1" t="s">
        <v>67</v>
      </c>
      <c r="S12" s="1" t="s">
        <v>67</v>
      </c>
      <c r="T12" s="1">
        <v>5</v>
      </c>
      <c r="U12" s="1">
        <v>5</v>
      </c>
      <c r="V12" s="1">
        <v>5</v>
      </c>
      <c r="W12" s="1">
        <v>5</v>
      </c>
      <c r="X12" s="1" t="s">
        <v>67</v>
      </c>
      <c r="Y12" s="1" t="s">
        <v>67</v>
      </c>
      <c r="Z12" s="1" t="s">
        <v>67</v>
      </c>
      <c r="AA12" s="1">
        <v>5</v>
      </c>
      <c r="AB12" s="1">
        <v>5</v>
      </c>
      <c r="AC12" s="1">
        <v>5</v>
      </c>
      <c r="AD12" s="1" t="s">
        <v>4</v>
      </c>
      <c r="AE12" s="1" t="s">
        <v>67</v>
      </c>
      <c r="AF12" s="1" t="s">
        <v>67</v>
      </c>
      <c r="AG12" s="1"/>
      <c r="AH12" s="7">
        <f>SUM(April[[#This Row],[1]:[ ]])</f>
        <v>65</v>
      </c>
    </row>
    <row r="13" spans="2:34" ht="30" customHeight="1" x14ac:dyDescent="0.25">
      <c r="B13" t="s">
        <v>70</v>
      </c>
      <c r="C13" s="1" t="s">
        <v>67</v>
      </c>
      <c r="D13" s="1">
        <v>4</v>
      </c>
      <c r="E13" s="1">
        <v>4</v>
      </c>
      <c r="F13" s="1">
        <v>4</v>
      </c>
      <c r="G13" s="1">
        <v>4</v>
      </c>
      <c r="H13" s="1" t="s">
        <v>4</v>
      </c>
      <c r="I13" s="1" t="s">
        <v>4</v>
      </c>
      <c r="J13" s="1" t="s">
        <v>67</v>
      </c>
      <c r="K13" s="1" t="s">
        <v>67</v>
      </c>
      <c r="L13" s="1">
        <v>4</v>
      </c>
      <c r="M13" s="1">
        <v>4</v>
      </c>
      <c r="N13" s="1">
        <v>4</v>
      </c>
      <c r="O13" s="1">
        <v>4</v>
      </c>
      <c r="P13" s="1" t="s">
        <v>4</v>
      </c>
      <c r="Q13" s="1" t="s">
        <v>67</v>
      </c>
      <c r="R13" s="1" t="s">
        <v>67</v>
      </c>
      <c r="S13" s="1">
        <v>4</v>
      </c>
      <c r="T13" s="1">
        <v>4</v>
      </c>
      <c r="U13" s="1">
        <v>4</v>
      </c>
      <c r="V13" s="1">
        <v>4</v>
      </c>
      <c r="W13" s="1">
        <v>4</v>
      </c>
      <c r="X13" s="1" t="s">
        <v>67</v>
      </c>
      <c r="Y13" s="1" t="s">
        <v>67</v>
      </c>
      <c r="Z13" s="1" t="s">
        <v>67</v>
      </c>
      <c r="AA13" s="1">
        <v>4</v>
      </c>
      <c r="AB13" s="1">
        <v>4</v>
      </c>
      <c r="AC13" s="1">
        <v>4</v>
      </c>
      <c r="AD13" s="1" t="s">
        <v>4</v>
      </c>
      <c r="AE13" s="1" t="s">
        <v>67</v>
      </c>
      <c r="AF13" s="1" t="s">
        <v>67</v>
      </c>
      <c r="AG13" s="1"/>
      <c r="AH13" s="7">
        <f>SUM(April[[#This Row],[1]:[ ]])</f>
        <v>64</v>
      </c>
    </row>
    <row r="14" spans="2:34" ht="30" customHeight="1" x14ac:dyDescent="0.25">
      <c r="B14" t="s">
        <v>63</v>
      </c>
      <c r="C14" s="1" t="s">
        <v>67</v>
      </c>
      <c r="D14" s="1" t="s">
        <v>67</v>
      </c>
      <c r="E14" s="1" t="s">
        <v>67</v>
      </c>
      <c r="F14" s="1" t="s">
        <v>67</v>
      </c>
      <c r="G14" s="1" t="s">
        <v>67</v>
      </c>
      <c r="H14" s="1" t="s">
        <v>67</v>
      </c>
      <c r="I14" s="1" t="s">
        <v>4</v>
      </c>
      <c r="J14" s="1" t="s">
        <v>67</v>
      </c>
      <c r="K14" s="1" t="s">
        <v>67</v>
      </c>
      <c r="L14" s="1" t="s">
        <v>67</v>
      </c>
      <c r="M14" s="1" t="s">
        <v>67</v>
      </c>
      <c r="N14" s="1" t="s">
        <v>67</v>
      </c>
      <c r="O14" s="1" t="s">
        <v>67</v>
      </c>
      <c r="P14" s="1" t="s">
        <v>4</v>
      </c>
      <c r="Q14" s="1" t="s">
        <v>67</v>
      </c>
      <c r="R14" s="1" t="s">
        <v>67</v>
      </c>
      <c r="S14" s="1" t="s">
        <v>67</v>
      </c>
      <c r="T14" s="1" t="s">
        <v>67</v>
      </c>
      <c r="U14" s="1" t="s">
        <v>67</v>
      </c>
      <c r="V14" s="1" t="s">
        <v>67</v>
      </c>
      <c r="W14" s="1" t="s">
        <v>4</v>
      </c>
      <c r="X14" s="1">
        <v>4</v>
      </c>
      <c r="Y14" s="1" t="s">
        <v>67</v>
      </c>
      <c r="Z14" s="1" t="s">
        <v>67</v>
      </c>
      <c r="AA14" s="1" t="s">
        <v>67</v>
      </c>
      <c r="AB14" s="1" t="s">
        <v>67</v>
      </c>
      <c r="AC14" s="1" t="s">
        <v>67</v>
      </c>
      <c r="AD14" s="1" t="s">
        <v>4</v>
      </c>
      <c r="AE14" s="1" t="s">
        <v>67</v>
      </c>
      <c r="AF14" s="1" t="s">
        <v>67</v>
      </c>
      <c r="AG14" s="1"/>
      <c r="AH14" s="7">
        <f>SUM(Januari!$C14:$AG14)</f>
        <v>42</v>
      </c>
    </row>
    <row r="15" spans="2:34" ht="30" customHeight="1" x14ac:dyDescent="0.25">
      <c r="B15" t="s">
        <v>78</v>
      </c>
      <c r="C15" s="1" t="s">
        <v>67</v>
      </c>
      <c r="D15" s="1" t="s">
        <v>67</v>
      </c>
      <c r="E15" s="1" t="s">
        <v>67</v>
      </c>
      <c r="F15" s="1" t="s">
        <v>67</v>
      </c>
      <c r="G15" s="1">
        <v>4</v>
      </c>
      <c r="H15" s="1">
        <v>4</v>
      </c>
      <c r="I15" s="1" t="s">
        <v>4</v>
      </c>
      <c r="J15" s="1" t="s">
        <v>67</v>
      </c>
      <c r="K15" s="1" t="s">
        <v>67</v>
      </c>
      <c r="L15" s="1" t="s">
        <v>67</v>
      </c>
      <c r="M15" s="1" t="s">
        <v>67</v>
      </c>
      <c r="N15" s="1"/>
      <c r="O15" s="1"/>
      <c r="P15" s="1" t="s">
        <v>4</v>
      </c>
      <c r="Q15" s="1" t="s">
        <v>67</v>
      </c>
      <c r="R15" s="1" t="s">
        <v>67</v>
      </c>
      <c r="S15" s="1" t="s">
        <v>67</v>
      </c>
      <c r="T15" s="1">
        <v>4</v>
      </c>
      <c r="U15" s="1">
        <v>4</v>
      </c>
      <c r="V15" s="1">
        <v>4</v>
      </c>
      <c r="W15" s="1">
        <v>4</v>
      </c>
      <c r="X15" s="1" t="s">
        <v>67</v>
      </c>
      <c r="Y15" s="1" t="s">
        <v>67</v>
      </c>
      <c r="Z15" s="1" t="s">
        <v>67</v>
      </c>
      <c r="AA15" s="1">
        <v>4</v>
      </c>
      <c r="AB15" s="1">
        <v>4</v>
      </c>
      <c r="AC15" s="1">
        <v>4</v>
      </c>
      <c r="AD15" s="1" t="s">
        <v>4</v>
      </c>
      <c r="AE15" s="1" t="s">
        <v>67</v>
      </c>
      <c r="AF15" s="1" t="s">
        <v>67</v>
      </c>
      <c r="AG15" s="1"/>
      <c r="AH15" s="7">
        <f>SUM(April[[#This Row],[1]:[ ]])</f>
        <v>36</v>
      </c>
    </row>
    <row r="16" spans="2:34" ht="30" customHeight="1" x14ac:dyDescent="0.25">
      <c r="B16" t="s">
        <v>62</v>
      </c>
      <c r="C16" s="1" t="s">
        <v>67</v>
      </c>
      <c r="D16" s="1" t="s">
        <v>67</v>
      </c>
      <c r="E16" s="1" t="s">
        <v>67</v>
      </c>
      <c r="F16" s="1" t="s">
        <v>67</v>
      </c>
      <c r="G16" s="1">
        <v>3.5</v>
      </c>
      <c r="H16" s="1">
        <v>3.5</v>
      </c>
      <c r="I16" s="1" t="s">
        <v>4</v>
      </c>
      <c r="J16" s="1" t="s">
        <v>67</v>
      </c>
      <c r="K16" s="1" t="s">
        <v>67</v>
      </c>
      <c r="L16" s="1" t="s">
        <v>67</v>
      </c>
      <c r="M16" s="1" t="s">
        <v>67</v>
      </c>
      <c r="N16" s="1">
        <v>3.5</v>
      </c>
      <c r="O16" s="1">
        <v>3.5</v>
      </c>
      <c r="P16" s="1" t="s">
        <v>4</v>
      </c>
      <c r="Q16" s="1" t="s">
        <v>67</v>
      </c>
      <c r="R16" s="1" t="s">
        <v>67</v>
      </c>
      <c r="S16" s="1" t="s">
        <v>67</v>
      </c>
      <c r="T16" s="1" t="s">
        <v>67</v>
      </c>
      <c r="U16" s="1">
        <v>3.5</v>
      </c>
      <c r="V16" s="1">
        <v>3.5</v>
      </c>
      <c r="W16" s="1" t="s">
        <v>4</v>
      </c>
      <c r="X16" s="1" t="s">
        <v>67</v>
      </c>
      <c r="Y16" s="1" t="s">
        <v>67</v>
      </c>
      <c r="Z16" s="1" t="s">
        <v>67</v>
      </c>
      <c r="AA16" s="1" t="s">
        <v>67</v>
      </c>
      <c r="AB16" s="1">
        <v>3.5</v>
      </c>
      <c r="AC16" s="1">
        <v>3.5</v>
      </c>
      <c r="AD16" s="1" t="s">
        <v>4</v>
      </c>
      <c r="AE16" s="1" t="s">
        <v>67</v>
      </c>
      <c r="AF16" s="1" t="s">
        <v>67</v>
      </c>
      <c r="AG16" s="1"/>
      <c r="AH16" s="7">
        <f>SUM(April[[#This Row],[1]:[ ]])</f>
        <v>28</v>
      </c>
    </row>
    <row r="17" spans="2:34" ht="30" customHeight="1" x14ac:dyDescent="0.25">
      <c r="B17" s="19" t="s">
        <v>75</v>
      </c>
      <c r="C17" s="1" t="s">
        <v>67</v>
      </c>
      <c r="D17" s="1" t="s">
        <v>67</v>
      </c>
      <c r="E17" s="1" t="s">
        <v>67</v>
      </c>
      <c r="F17" s="1">
        <v>5</v>
      </c>
      <c r="G17" s="1">
        <v>5</v>
      </c>
      <c r="H17" s="1">
        <v>5</v>
      </c>
      <c r="I17" s="1" t="s">
        <v>4</v>
      </c>
      <c r="J17" s="1" t="s">
        <v>67</v>
      </c>
      <c r="K17" s="1" t="s">
        <v>67</v>
      </c>
      <c r="L17" s="1" t="s">
        <v>67</v>
      </c>
      <c r="M17" s="1">
        <v>5</v>
      </c>
      <c r="N17" s="1">
        <v>5</v>
      </c>
      <c r="O17" s="1">
        <v>5</v>
      </c>
      <c r="P17" s="1" t="s">
        <v>4</v>
      </c>
      <c r="Q17" s="1" t="s">
        <v>67</v>
      </c>
      <c r="R17" s="1" t="s">
        <v>67</v>
      </c>
      <c r="S17" s="1" t="s">
        <v>67</v>
      </c>
      <c r="T17" s="1">
        <v>5</v>
      </c>
      <c r="U17" s="1">
        <v>5</v>
      </c>
      <c r="V17" s="1">
        <v>5</v>
      </c>
      <c r="W17" s="1">
        <v>5</v>
      </c>
      <c r="X17" s="1" t="s">
        <v>67</v>
      </c>
      <c r="Y17" s="1" t="s">
        <v>67</v>
      </c>
      <c r="Z17" s="1" t="s">
        <v>67</v>
      </c>
      <c r="AA17" s="1">
        <v>5</v>
      </c>
      <c r="AB17" s="1">
        <v>5</v>
      </c>
      <c r="AC17" s="1">
        <v>5</v>
      </c>
      <c r="AD17" s="1" t="s">
        <v>4</v>
      </c>
      <c r="AE17" s="1" t="s">
        <v>67</v>
      </c>
      <c r="AF17" s="1" t="s">
        <v>67</v>
      </c>
      <c r="AG17" s="1"/>
      <c r="AH17" s="7">
        <f>SUM(April[[#This Row],[1]:[ ]])</f>
        <v>65</v>
      </c>
    </row>
    <row r="18" spans="2:34" ht="30" customHeight="1" x14ac:dyDescent="0.25">
      <c r="B18" t="s">
        <v>69</v>
      </c>
      <c r="C18" s="1" t="s">
        <v>67</v>
      </c>
      <c r="D18" s="1" t="s">
        <v>67</v>
      </c>
      <c r="E18" s="1" t="s">
        <v>67</v>
      </c>
      <c r="F18" s="1">
        <v>3.5</v>
      </c>
      <c r="G18" s="1">
        <v>3.5</v>
      </c>
      <c r="H18" s="1" t="s">
        <v>4</v>
      </c>
      <c r="I18" s="1" t="s">
        <v>4</v>
      </c>
      <c r="J18" s="1" t="s">
        <v>67</v>
      </c>
      <c r="K18" s="1" t="s">
        <v>67</v>
      </c>
      <c r="L18" s="1" t="s">
        <v>67</v>
      </c>
      <c r="M18" s="1" t="s">
        <v>67</v>
      </c>
      <c r="N18" s="1" t="s">
        <v>67</v>
      </c>
      <c r="O18" s="1" t="s">
        <v>67</v>
      </c>
      <c r="P18" s="1" t="s">
        <v>4</v>
      </c>
      <c r="Q18" s="1" t="s">
        <v>67</v>
      </c>
      <c r="R18" s="1" t="s">
        <v>67</v>
      </c>
      <c r="S18" s="1" t="s">
        <v>67</v>
      </c>
      <c r="T18" s="1" t="s">
        <v>67</v>
      </c>
      <c r="U18" s="1" t="s">
        <v>67</v>
      </c>
      <c r="V18" s="1" t="s">
        <v>67</v>
      </c>
      <c r="W18" s="1" t="s">
        <v>4</v>
      </c>
      <c r="X18" s="1" t="s">
        <v>67</v>
      </c>
      <c r="Y18" s="1" t="s">
        <v>67</v>
      </c>
      <c r="Z18" s="1" t="s">
        <v>67</v>
      </c>
      <c r="AA18" s="1" t="s">
        <v>67</v>
      </c>
      <c r="AB18" s="1" t="s">
        <v>67</v>
      </c>
      <c r="AC18" s="1" t="s">
        <v>67</v>
      </c>
      <c r="AD18" s="1" t="s">
        <v>4</v>
      </c>
      <c r="AE18" s="1" t="s">
        <v>67</v>
      </c>
      <c r="AF18" s="1" t="s">
        <v>67</v>
      </c>
      <c r="AG18" s="1"/>
      <c r="AH18" s="7">
        <f>SUM(April[[#This Row],[1]:[ ]])</f>
        <v>7</v>
      </c>
    </row>
    <row r="19" spans="2:34" ht="30" customHeight="1" x14ac:dyDescent="0.25">
      <c r="B19" s="16" t="str">
        <f>MonthName&amp;" Totaal"</f>
        <v>April Totaal</v>
      </c>
      <c r="C19" s="9">
        <f>SUM(C7:C18)</f>
        <v>0</v>
      </c>
      <c r="D19" s="9">
        <f>SUM(D8:D18)</f>
        <v>4</v>
      </c>
      <c r="E19" s="9">
        <f t="shared" ref="E19:AG19" si="0">SUM(E7:E18)</f>
        <v>4</v>
      </c>
      <c r="F19" s="9">
        <f t="shared" si="0"/>
        <v>33.5</v>
      </c>
      <c r="G19" s="9">
        <f t="shared" si="0"/>
        <v>41</v>
      </c>
      <c r="H19" s="9">
        <f t="shared" si="0"/>
        <v>37.5</v>
      </c>
      <c r="I19" s="9">
        <f t="shared" si="0"/>
        <v>0</v>
      </c>
      <c r="J19" s="9">
        <f t="shared" si="0"/>
        <v>0</v>
      </c>
      <c r="K19" s="9">
        <f t="shared" si="0"/>
        <v>4</v>
      </c>
      <c r="L19" s="9">
        <f t="shared" si="0"/>
        <v>8</v>
      </c>
      <c r="M19" s="9">
        <f t="shared" si="0"/>
        <v>30.5</v>
      </c>
      <c r="N19" s="9">
        <f t="shared" si="0"/>
        <v>33.5</v>
      </c>
      <c r="O19" s="9">
        <f t="shared" si="0"/>
        <v>37.5</v>
      </c>
      <c r="P19" s="9">
        <f t="shared" si="0"/>
        <v>0</v>
      </c>
      <c r="Q19" s="9">
        <f t="shared" si="0"/>
        <v>0</v>
      </c>
      <c r="R19" s="9">
        <f t="shared" si="0"/>
        <v>0</v>
      </c>
      <c r="S19" s="9">
        <f t="shared" si="0"/>
        <v>4</v>
      </c>
      <c r="T19" s="9">
        <f t="shared" si="0"/>
        <v>26.5</v>
      </c>
      <c r="U19" s="9">
        <f t="shared" si="0"/>
        <v>34</v>
      </c>
      <c r="V19" s="9">
        <f t="shared" si="0"/>
        <v>34</v>
      </c>
      <c r="W19" s="9">
        <f t="shared" si="0"/>
        <v>30.5</v>
      </c>
      <c r="X19" s="9">
        <f t="shared" si="0"/>
        <v>4</v>
      </c>
      <c r="Y19" s="9">
        <f t="shared" si="0"/>
        <v>4</v>
      </c>
      <c r="Z19" s="9">
        <f t="shared" si="0"/>
        <v>4</v>
      </c>
      <c r="AA19" s="9">
        <f t="shared" si="0"/>
        <v>30.5</v>
      </c>
      <c r="AB19" s="9">
        <f>SUM(AB7:AB18)</f>
        <v>37.5</v>
      </c>
      <c r="AC19" s="9">
        <f>SUM(AC7:AC18)</f>
        <v>37.5</v>
      </c>
      <c r="AD19" s="9">
        <f t="shared" si="0"/>
        <v>0</v>
      </c>
      <c r="AE19" s="9">
        <f t="shared" si="0"/>
        <v>0</v>
      </c>
      <c r="AF19" s="9">
        <f t="shared" si="0"/>
        <v>0</v>
      </c>
      <c r="AG19" s="9">
        <f t="shared" si="0"/>
        <v>0</v>
      </c>
      <c r="AH19" s="9">
        <f>SUBTOTAL(109,April[Totaal aantal uren])</f>
        <v>518</v>
      </c>
    </row>
  </sheetData>
  <mergeCells count="6">
    <mergeCell ref="C4:AG4"/>
    <mergeCell ref="D2:F2"/>
    <mergeCell ref="H2:J2"/>
    <mergeCell ref="L2:M2"/>
    <mergeCell ref="O2:Q2"/>
    <mergeCell ref="S2:U2"/>
  </mergeCells>
  <conditionalFormatting sqref="C7 X8:Z17 X18:AC18">
    <cfRule type="expression" priority="103" stopIfTrue="1">
      <formula>C7=""</formula>
    </cfRule>
    <cfRule type="expression" dxfId="492" priority="104" stopIfTrue="1">
      <formula>C7=KeyCustom2</formula>
    </cfRule>
    <cfRule type="expression" dxfId="491" priority="105" stopIfTrue="1">
      <formula>C7=KeyCustom1</formula>
    </cfRule>
    <cfRule type="expression" dxfId="490" priority="106" stopIfTrue="1">
      <formula>C7=KeySick</formula>
    </cfRule>
    <cfRule type="expression" dxfId="489" priority="108" stopIfTrue="1">
      <formula>C7=KeyVacation</formula>
    </cfRule>
    <cfRule type="expression" dxfId="488" priority="107" stopIfTrue="1">
      <formula>C7=KeyPersonal</formula>
    </cfRule>
  </conditionalFormatting>
  <conditionalFormatting sqref="C8:E18 F9:H9 F14:H14">
    <cfRule type="expression" priority="97" stopIfTrue="1">
      <formula>C8=""</formula>
    </cfRule>
    <cfRule type="expression" dxfId="487" priority="98" stopIfTrue="1">
      <formula>C8=KeyCustom2</formula>
    </cfRule>
    <cfRule type="expression" dxfId="486" priority="99" stopIfTrue="1">
      <formula>C8=KeyCustom1</formula>
    </cfRule>
    <cfRule type="expression" dxfId="485" priority="100" stopIfTrue="1">
      <formula>C8=KeySick</formula>
    </cfRule>
    <cfRule type="expression" dxfId="484" priority="101" stopIfTrue="1">
      <formula>C8=KeyPersonal</formula>
    </cfRule>
    <cfRule type="expression" dxfId="483" priority="102" stopIfTrue="1">
      <formula>C8=KeyVacation</formula>
    </cfRule>
  </conditionalFormatting>
  <conditionalFormatting sqref="D7:E7">
    <cfRule type="expression" dxfId="482" priority="114" stopIfTrue="1">
      <formula>D7=KeyVacation</formula>
    </cfRule>
    <cfRule type="expression" dxfId="481" priority="113" stopIfTrue="1">
      <formula>D7=KeyPersonal</formula>
    </cfRule>
    <cfRule type="expression" dxfId="480" priority="112" stopIfTrue="1">
      <formula>D7=KeySick</formula>
    </cfRule>
    <cfRule type="expression" dxfId="479" priority="111" stopIfTrue="1">
      <formula>D7=KeyCustom1</formula>
    </cfRule>
    <cfRule type="expression" priority="109" stopIfTrue="1">
      <formula>D7=""</formula>
    </cfRule>
    <cfRule type="expression" dxfId="478" priority="110" stopIfTrue="1">
      <formula>D7=KeyCustom2</formula>
    </cfRule>
  </conditionalFormatting>
  <conditionalFormatting sqref="G7:H8 G10:H13 G15:H18">
    <cfRule type="expression" dxfId="477" priority="204" stopIfTrue="1">
      <formula>G7=KeyVacation</formula>
    </cfRule>
    <cfRule type="expression" dxfId="476" priority="200" stopIfTrue="1">
      <formula>G7=KeyCustom2</formula>
    </cfRule>
    <cfRule type="expression" priority="199" stopIfTrue="1">
      <formula>G7=""</formula>
    </cfRule>
    <cfRule type="expression" dxfId="475" priority="203" stopIfTrue="1">
      <formula>G7=KeyPersonal</formula>
    </cfRule>
    <cfRule type="expression" dxfId="474" priority="201" stopIfTrue="1">
      <formula>G7=KeyCustom1</formula>
    </cfRule>
    <cfRule type="expression" dxfId="473" priority="202" stopIfTrue="1">
      <formula>G7=KeySick</formula>
    </cfRule>
  </conditionalFormatting>
  <conditionalFormatting sqref="I7:I18">
    <cfRule type="expression" dxfId="472" priority="21" stopIfTrue="1">
      <formula>I7=KeyCustom1</formula>
    </cfRule>
    <cfRule type="expression" dxfId="471" priority="23" stopIfTrue="1">
      <formula>I7=KeyPersonal</formula>
    </cfRule>
    <cfRule type="expression" dxfId="470" priority="24" stopIfTrue="1">
      <formula>I7=KeyVacation</formula>
    </cfRule>
    <cfRule type="expression" dxfId="469" priority="22" stopIfTrue="1">
      <formula>I7=KeySick</formula>
    </cfRule>
    <cfRule type="expression" priority="19" stopIfTrue="1">
      <formula>I7=""</formula>
    </cfRule>
    <cfRule type="expression" dxfId="468" priority="20" stopIfTrue="1">
      <formula>I7=KeyCustom2</formula>
    </cfRule>
  </conditionalFormatting>
  <conditionalFormatting sqref="J7">
    <cfRule type="expression" dxfId="467" priority="90" stopIfTrue="1">
      <formula>J7=KeyVacation</formula>
    </cfRule>
    <cfRule type="expression" priority="85" stopIfTrue="1">
      <formula>J7=""</formula>
    </cfRule>
    <cfRule type="expression" dxfId="466" priority="86" stopIfTrue="1">
      <formula>J7=KeyCustom2</formula>
    </cfRule>
    <cfRule type="expression" dxfId="465" priority="87" stopIfTrue="1">
      <formula>J7=KeyCustom1</formula>
    </cfRule>
    <cfRule type="expression" dxfId="464" priority="88" stopIfTrue="1">
      <formula>J7=KeySick</formula>
    </cfRule>
    <cfRule type="expression" dxfId="463" priority="89" stopIfTrue="1">
      <formula>J7=KeyPersonal</formula>
    </cfRule>
  </conditionalFormatting>
  <conditionalFormatting sqref="J8:L18">
    <cfRule type="expression" dxfId="462" priority="82" stopIfTrue="1">
      <formula>J8=KeySick</formula>
    </cfRule>
    <cfRule type="expression" dxfId="461" priority="83" stopIfTrue="1">
      <formula>J8=KeyPersonal</formula>
    </cfRule>
    <cfRule type="expression" dxfId="460" priority="81" stopIfTrue="1">
      <formula>J8=KeyCustom1</formula>
    </cfRule>
    <cfRule type="expression" dxfId="459" priority="84" stopIfTrue="1">
      <formula>J8=KeyVacation</formula>
    </cfRule>
    <cfRule type="expression" dxfId="458" priority="80" stopIfTrue="1">
      <formula>J8=KeyCustom2</formula>
    </cfRule>
    <cfRule type="expression" priority="79" stopIfTrue="1">
      <formula>J8=""</formula>
    </cfRule>
  </conditionalFormatting>
  <conditionalFormatting sqref="K7:L7">
    <cfRule type="expression" priority="91" stopIfTrue="1">
      <formula>K7=""</formula>
    </cfRule>
    <cfRule type="expression" dxfId="457" priority="93" stopIfTrue="1">
      <formula>K7=KeyCustom1</formula>
    </cfRule>
    <cfRule type="expression" dxfId="456" priority="92" stopIfTrue="1">
      <formula>K7=KeyCustom2</formula>
    </cfRule>
    <cfRule type="expression" dxfId="455" priority="95" stopIfTrue="1">
      <formula>K7=KeyPersonal</formula>
    </cfRule>
    <cfRule type="expression" dxfId="454" priority="94" stopIfTrue="1">
      <formula>K7=KeySick</formula>
    </cfRule>
    <cfRule type="expression" dxfId="453" priority="96" stopIfTrue="1">
      <formula>K7=KeyVacation</formula>
    </cfRule>
  </conditionalFormatting>
  <conditionalFormatting sqref="N7:O18">
    <cfRule type="expression" dxfId="452" priority="195" stopIfTrue="1">
      <formula>N7=KeyCustom1</formula>
    </cfRule>
    <cfRule type="expression" priority="193" stopIfTrue="1">
      <formula>N7=""</formula>
    </cfRule>
    <cfRule type="expression" dxfId="451" priority="194" stopIfTrue="1">
      <formula>N7=KeyCustom2</formula>
    </cfRule>
    <cfRule type="expression" dxfId="450" priority="196" stopIfTrue="1">
      <formula>N7=KeySick</formula>
    </cfRule>
    <cfRule type="expression" dxfId="449" priority="198" stopIfTrue="1">
      <formula>N7=KeyVacation</formula>
    </cfRule>
    <cfRule type="expression" dxfId="448" priority="197" stopIfTrue="1">
      <formula>N7=KeyPersonal</formula>
    </cfRule>
  </conditionalFormatting>
  <conditionalFormatting sqref="P7:P18">
    <cfRule type="expression" dxfId="447" priority="16" stopIfTrue="1">
      <formula>P7=KeySick</formula>
    </cfRule>
    <cfRule type="expression" dxfId="446" priority="18" stopIfTrue="1">
      <formula>P7=KeyVacation</formula>
    </cfRule>
    <cfRule type="expression" priority="13" stopIfTrue="1">
      <formula>P7=""</formula>
    </cfRule>
    <cfRule type="expression" dxfId="445" priority="17" stopIfTrue="1">
      <formula>P7=KeyPersonal</formula>
    </cfRule>
    <cfRule type="expression" dxfId="444" priority="14" stopIfTrue="1">
      <formula>P7=KeyCustom2</formula>
    </cfRule>
    <cfRule type="expression" dxfId="443" priority="15" stopIfTrue="1">
      <formula>P7=KeyCustom1</formula>
    </cfRule>
  </conditionalFormatting>
  <conditionalFormatting sqref="Q7">
    <cfRule type="expression" dxfId="442" priority="72" stopIfTrue="1">
      <formula>Q7=KeyVacation</formula>
    </cfRule>
    <cfRule type="expression" dxfId="441" priority="71" stopIfTrue="1">
      <formula>Q7=KeyPersonal</formula>
    </cfRule>
    <cfRule type="expression" dxfId="440" priority="70" stopIfTrue="1">
      <formula>Q7=KeySick</formula>
    </cfRule>
    <cfRule type="expression" dxfId="439" priority="69" stopIfTrue="1">
      <formula>Q7=KeyCustom1</formula>
    </cfRule>
    <cfRule type="expression" priority="67" stopIfTrue="1">
      <formula>Q7=""</formula>
    </cfRule>
    <cfRule type="expression" dxfId="438" priority="68" stopIfTrue="1">
      <formula>Q7=KeyCustom2</formula>
    </cfRule>
  </conditionalFormatting>
  <conditionalFormatting sqref="R7:S7">
    <cfRule type="expression" priority="73" stopIfTrue="1">
      <formula>R7=""</formula>
    </cfRule>
    <cfRule type="expression" dxfId="437" priority="77" stopIfTrue="1">
      <formula>R7=KeyPersonal</formula>
    </cfRule>
    <cfRule type="expression" dxfId="436" priority="76" stopIfTrue="1">
      <formula>R7=KeySick</formula>
    </cfRule>
    <cfRule type="expression" dxfId="435" priority="75" stopIfTrue="1">
      <formula>R7=KeyCustom1</formula>
    </cfRule>
    <cfRule type="expression" dxfId="434" priority="74" stopIfTrue="1">
      <formula>R7=KeyCustom2</formula>
    </cfRule>
    <cfRule type="expression" dxfId="433" priority="78" stopIfTrue="1">
      <formula>R7=KeyVacation</formula>
    </cfRule>
  </conditionalFormatting>
  <conditionalFormatting sqref="T7:V18 Q8:S18">
    <cfRule type="expression" dxfId="432" priority="62" stopIfTrue="1">
      <formula>Q7=KeyCustom2</formula>
    </cfRule>
    <cfRule type="expression" priority="61" stopIfTrue="1">
      <formula>Q7=""</formula>
    </cfRule>
    <cfRule type="expression" dxfId="431" priority="63" stopIfTrue="1">
      <formula>Q7=KeyCustom1</formula>
    </cfRule>
    <cfRule type="expression" dxfId="430" priority="66" stopIfTrue="1">
      <formula>Q7=KeyVacation</formula>
    </cfRule>
    <cfRule type="expression" dxfId="429" priority="65" stopIfTrue="1">
      <formula>Q7=KeyPersonal</formula>
    </cfRule>
    <cfRule type="expression" dxfId="428" priority="64" stopIfTrue="1">
      <formula>Q7=KeySick</formula>
    </cfRule>
  </conditionalFormatting>
  <conditionalFormatting sqref="W7:W18">
    <cfRule type="expression" dxfId="427" priority="9" stopIfTrue="1">
      <formula>W7=KeyCustom1</formula>
    </cfRule>
    <cfRule type="expression" priority="7" stopIfTrue="1">
      <formula>W7=""</formula>
    </cfRule>
    <cfRule type="expression" dxfId="426" priority="12" stopIfTrue="1">
      <formula>W7=KeyVacation</formula>
    </cfRule>
    <cfRule type="expression" dxfId="425" priority="8" stopIfTrue="1">
      <formula>W7=KeyCustom2</formula>
    </cfRule>
    <cfRule type="expression" dxfId="424" priority="11" stopIfTrue="1">
      <formula>W7=KeyPersonal</formula>
    </cfRule>
    <cfRule type="expression" dxfId="423" priority="10" stopIfTrue="1">
      <formula>W7=KeySick</formula>
    </cfRule>
  </conditionalFormatting>
  <conditionalFormatting sqref="X7">
    <cfRule type="expression" dxfId="422" priority="52" stopIfTrue="1">
      <formula>X7=KeySick</formula>
    </cfRule>
    <cfRule type="expression" priority="49" stopIfTrue="1">
      <formula>X7=""</formula>
    </cfRule>
    <cfRule type="expression" dxfId="421" priority="50" stopIfTrue="1">
      <formula>X7=KeyCustom2</formula>
    </cfRule>
    <cfRule type="expression" dxfId="420" priority="51" stopIfTrue="1">
      <formula>X7=KeyCustom1</formula>
    </cfRule>
    <cfRule type="expression" dxfId="419" priority="54" stopIfTrue="1">
      <formula>X7=KeyVacation</formula>
    </cfRule>
    <cfRule type="expression" dxfId="418" priority="53" stopIfTrue="1">
      <formula>X7=KeyPersonal</formula>
    </cfRule>
  </conditionalFormatting>
  <conditionalFormatting sqref="Y7:Z7">
    <cfRule type="expression" dxfId="417" priority="60" stopIfTrue="1">
      <formula>Y7=KeyVacation</formula>
    </cfRule>
    <cfRule type="expression" dxfId="416" priority="58" stopIfTrue="1">
      <formula>Y7=KeySick</formula>
    </cfRule>
    <cfRule type="expression" priority="55" stopIfTrue="1">
      <formula>Y7=""</formula>
    </cfRule>
    <cfRule type="expression" dxfId="415" priority="56" stopIfTrue="1">
      <formula>Y7=KeyCustom2</formula>
    </cfRule>
    <cfRule type="expression" dxfId="414" priority="57" stopIfTrue="1">
      <formula>Y7=KeyCustom1</formula>
    </cfRule>
    <cfRule type="expression" dxfId="413" priority="59" stopIfTrue="1">
      <formula>Y7=KeyPersonal</formula>
    </cfRule>
  </conditionalFormatting>
  <conditionalFormatting sqref="AA7 F7:F8 M7:M18 AG7:AG18 AA9:AA13 F10:F13 AA15:AA17 F15:F18">
    <cfRule type="expression" dxfId="412" priority="177" stopIfTrue="1">
      <formula>F7=KeyCustom1</formula>
    </cfRule>
    <cfRule type="expression" dxfId="411" priority="178" stopIfTrue="1">
      <formula>F7=KeySick</formula>
    </cfRule>
    <cfRule type="expression" dxfId="410" priority="179" stopIfTrue="1">
      <formula>F7=KeyPersonal</formula>
    </cfRule>
    <cfRule type="expression" priority="175" stopIfTrue="1">
      <formula>F7=""</formula>
    </cfRule>
    <cfRule type="expression" dxfId="409" priority="176" stopIfTrue="1">
      <formula>F7=KeyCustom2</formula>
    </cfRule>
    <cfRule type="expression" dxfId="408" priority="180" stopIfTrue="1">
      <formula>F7=KeyVacation</formula>
    </cfRule>
  </conditionalFormatting>
  <conditionalFormatting sqref="AA8:AC8 AA14:AC14">
    <cfRule type="expression" dxfId="407" priority="44" stopIfTrue="1">
      <formula>AA8=KeyCustom2</formula>
    </cfRule>
    <cfRule type="expression" dxfId="406" priority="46" stopIfTrue="1">
      <formula>AA8=KeySick</formula>
    </cfRule>
    <cfRule type="expression" dxfId="405" priority="47" stopIfTrue="1">
      <formula>AA8=KeyPersonal</formula>
    </cfRule>
    <cfRule type="expression" dxfId="404" priority="48" stopIfTrue="1">
      <formula>AA8=KeyVacation</formula>
    </cfRule>
    <cfRule type="expression" dxfId="403" priority="45" stopIfTrue="1">
      <formula>AA8=KeyCustom1</formula>
    </cfRule>
    <cfRule type="expression" priority="43" stopIfTrue="1">
      <formula>AA8=""</formula>
    </cfRule>
  </conditionalFormatting>
  <conditionalFormatting sqref="AB7:AC7 AB9:AC13 AB15:AC18">
    <cfRule type="expression" dxfId="402" priority="182" stopIfTrue="1">
      <formula>AB7=KeyCustom2</formula>
    </cfRule>
    <cfRule type="expression" dxfId="401" priority="183" stopIfTrue="1">
      <formula>AB7=KeyCustom1</formula>
    </cfRule>
    <cfRule type="expression" dxfId="400" priority="184" stopIfTrue="1">
      <formula>AB7=KeySick</formula>
    </cfRule>
    <cfRule type="expression" dxfId="399" priority="185" stopIfTrue="1">
      <formula>AB7=KeyPersonal</formula>
    </cfRule>
    <cfRule type="expression" dxfId="398" priority="186" stopIfTrue="1">
      <formula>AB7=KeyVacation</formula>
    </cfRule>
  </conditionalFormatting>
  <conditionalFormatting sqref="AB15:AC18 AB7:AC7 AB9:AC13">
    <cfRule type="expression" priority="181" stopIfTrue="1">
      <formula>AB7=""</formula>
    </cfRule>
  </conditionalFormatting>
  <conditionalFormatting sqref="AD7:AD18">
    <cfRule type="expression" dxfId="397" priority="6" stopIfTrue="1">
      <formula>AD7=KeyVacation</formula>
    </cfRule>
    <cfRule type="expression" dxfId="396" priority="5" stopIfTrue="1">
      <formula>AD7=KeyPersonal</formula>
    </cfRule>
    <cfRule type="expression" dxfId="395" priority="4" stopIfTrue="1">
      <formula>AD7=KeySick</formula>
    </cfRule>
    <cfRule type="expression" dxfId="394" priority="3" stopIfTrue="1">
      <formula>AD7=KeyCustom1</formula>
    </cfRule>
    <cfRule type="expression" dxfId="393" priority="2" stopIfTrue="1">
      <formula>AD7=KeyCustom2</formula>
    </cfRule>
    <cfRule type="expression" priority="1" stopIfTrue="1">
      <formula>AD7=""</formula>
    </cfRule>
  </conditionalFormatting>
  <conditionalFormatting sqref="AE7:AF18">
    <cfRule type="expression" dxfId="392" priority="30" stopIfTrue="1">
      <formula>AE7=KeyVacation</formula>
    </cfRule>
    <cfRule type="expression" dxfId="391" priority="29" stopIfTrue="1">
      <formula>AE7=KeyPersonal</formula>
    </cfRule>
    <cfRule type="expression" dxfId="390" priority="28" stopIfTrue="1">
      <formula>AE7=KeySick</formula>
    </cfRule>
    <cfRule type="expression" dxfId="389" priority="27" stopIfTrue="1">
      <formula>AE7=KeyCustom1</formula>
    </cfRule>
    <cfRule type="expression" dxfId="388" priority="26" stopIfTrue="1">
      <formula>AE7=KeyCustom2</formula>
    </cfRule>
    <cfRule type="expression" priority="25" stopIfTrue="1">
      <formula>AE7=""</formula>
    </cfRule>
  </conditionalFormatting>
  <conditionalFormatting sqref="AH7:AH13 AH15:AH18">
    <cfRule type="dataBar" priority="242">
      <dataBar>
        <cfvo type="num" val="0"/>
        <cfvo type="num" val="31"/>
        <color theme="2" tint="-0.249977111117893"/>
      </dataBar>
      <extLst>
        <ext xmlns:x14="http://schemas.microsoft.com/office/spreadsheetml/2009/9/main" uri="{B025F937-C7B1-47D3-B67F-A62EFF666E3E}">
          <x14:id>{D35A9035-AF00-48E7-873D-7ABDE19C237F}</x14:id>
        </ext>
      </extLst>
    </cfRule>
  </conditionalFormatting>
  <conditionalFormatting sqref="AH14">
    <cfRule type="dataBar" priority="211">
      <dataBar>
        <cfvo type="num" val="0"/>
        <cfvo type="num" val="31"/>
        <color theme="2" tint="-0.249977111117893"/>
      </dataBar>
      <extLst>
        <ext xmlns:x14="http://schemas.microsoft.com/office/spreadsheetml/2009/9/main" uri="{B025F937-C7B1-47D3-B67F-A62EFF666E3E}">
          <x14:id>{002AB7F6-71F1-496B-BF8E-4FA54E1512D8}</x14:id>
        </ext>
      </extLst>
    </cfRule>
  </conditionalFormatting>
  <dataValidations count="14">
    <dataValidation allowBlank="1" showInputMessage="1" showErrorMessage="1" prompt="Automatisch bijgewerkt jaar op basis van het jaar dat in het werkblad januari is ingevoerd" sqref="AH4" xr:uid="{00000000-0002-0000-0300-000000000000}"/>
    <dataValidation allowBlank="1" showInputMessage="1" showErrorMessage="1" prompt="Berekent automatisch het totaal aantal dagen die een werknemer in deze maand niet aanwezig was in deze kolom" sqref="AH6" xr:uid="{00000000-0002-0000-0300-000001000000}"/>
    <dataValidation allowBlank="1" showInputMessage="1" showErrorMessage="1" prompt="Houd de afwezigheid in april in dit werkblad bij" sqref="A1" xr:uid="{00000000-0002-0000-03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300-000003000000}"/>
    <dataValidation allowBlank="1" showInputMessage="1" showErrorMessage="1" prompt="De titel wordt automatisch bijgewerkt in deze cel. Als u de titel wilt wijzigen, werk B1 in het januari-werkblad bij" sqref="B1" xr:uid="{00000000-0002-0000-0300-000004000000}"/>
    <dataValidation allowBlank="1" showInputMessage="1" showErrorMessage="1" prompt="De letter &quot;V&quot; geeft afwezigheid vanwege vakantie aan" sqref="C2" xr:uid="{00000000-0002-0000-0300-000005000000}"/>
    <dataValidation allowBlank="1" showInputMessage="1" showErrorMessage="1" prompt="De letter &quot;P&quot; geeft afwezigheid vanwege persoonlijke redenen aan" sqref="G2" xr:uid="{00000000-0002-0000-0300-000006000000}"/>
    <dataValidation allowBlank="1" showInputMessage="1" showErrorMessage="1" prompt="De letter &quot;Z&quot; geeft afwezigheid vanwege ziekte aan" sqref="K2" xr:uid="{00000000-0002-0000-0300-000007000000}"/>
    <dataValidation allowBlank="1" showInputMessage="1" showErrorMessage="1" prompt="Voer een letter in en pas rechts het label aan om een ander sleutelitem toe te voegen" sqref="N2 R2" xr:uid="{00000000-0002-0000-0300-000008000000}"/>
    <dataValidation allowBlank="1" showInputMessage="1" showErrorMessage="1" prompt="Voer links een label in om de aangepaste sleutel te beschrijven" sqref="O2:Q2 S2:U2" xr:uid="{00000000-0002-0000-0300-000009000000}"/>
    <dataValidation allowBlank="1" showInputMessage="1" showErrorMessage="1" prompt="Deze rij definieert de sleutels die worden gebruikt in de tabel: cel C2 is Vakantie, G2 is Persoonlijk en K2 is Ziekteverlof. De cellen N2 en R2 kunnen worden aangepast" sqref="B2" xr:uid="{00000000-0002-0000-0300-00000A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300-00000B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3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3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35A9035-AF00-48E7-873D-7ABDE19C237F}">
            <x14:dataBar minLength="0" maxLength="100">
              <x14:cfvo type="num">
                <xm:f>0</xm:f>
              </x14:cfvo>
              <x14:cfvo type="num">
                <xm:f>31</xm:f>
              </x14:cfvo>
              <x14:negativeFillColor rgb="FFFF0000"/>
              <x14:axisColor rgb="FF000000"/>
            </x14:dataBar>
          </x14:cfRule>
          <xm:sqref>AH7:AH13 AH15:AH18</xm:sqref>
        </x14:conditionalFormatting>
        <x14:conditionalFormatting xmlns:xm="http://schemas.microsoft.com/office/excel/2006/main">
          <x14:cfRule type="dataBar" id="{002AB7F6-71F1-496B-BF8E-4FA54E1512D8}">
            <x14:dataBar minLength="0" maxLength="100">
              <x14:cfvo type="num">
                <xm:f>0</xm:f>
              </x14:cfvo>
              <x14:cfvo type="num">
                <xm:f>31</xm:f>
              </x14:cfvo>
              <x14:negativeFillColor rgb="FFFF0000"/>
              <x14:axisColor rgb="FF000000"/>
            </x14:dataBar>
          </x14:cfRule>
          <xm:sqref>AH14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theme="2" tint="-9.9978637043366805E-2"/>
    <pageSetUpPr fitToPage="1"/>
  </sheetPr>
  <dimension ref="B1:AH18"/>
  <sheetViews>
    <sheetView showGridLines="0" zoomScaleNormal="100" workbookViewId="0">
      <selection activeCell="AF17" sqref="AF17"/>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58</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TEXT(WEEKDAY(DATE(CalendarYear,5,1),1),"aaa")</f>
        <v>do</v>
      </c>
      <c r="D5" s="1" t="str">
        <f>TEXT(WEEKDAY(DATE(CalendarYear,5,2),1),"aaa")</f>
        <v>vr</v>
      </c>
      <c r="E5" s="1" t="str">
        <f>TEXT(WEEKDAY(DATE(CalendarYear,5,3),1),"aaa")</f>
        <v>za</v>
      </c>
      <c r="F5" s="1" t="str">
        <f>TEXT(WEEKDAY(DATE(CalendarYear,5,4),1),"aaa")</f>
        <v>zo</v>
      </c>
      <c r="G5" s="1" t="str">
        <f>TEXT(WEEKDAY(DATE(CalendarYear,5,5),1),"aaa")</f>
        <v>ma</v>
      </c>
      <c r="H5" s="1" t="str">
        <f>TEXT(WEEKDAY(DATE(CalendarYear,5,6),1),"aaa")</f>
        <v>di</v>
      </c>
      <c r="I5" s="1" t="str">
        <f>TEXT(WEEKDAY(DATE(CalendarYear,5,7),1),"aaa")</f>
        <v>wo</v>
      </c>
      <c r="J5" s="1" t="str">
        <f>TEXT(WEEKDAY(DATE(CalendarYear,5,8),1),"aaa")</f>
        <v>do</v>
      </c>
      <c r="K5" s="1" t="str">
        <f>TEXT(WEEKDAY(DATE(CalendarYear,5,9),1),"aaa")</f>
        <v>vr</v>
      </c>
      <c r="L5" s="1" t="str">
        <f>TEXT(WEEKDAY(DATE(CalendarYear,5,10),1),"aaa")</f>
        <v>za</v>
      </c>
      <c r="M5" s="1" t="str">
        <f>TEXT(WEEKDAY(DATE(CalendarYear,5,11),1),"aaa")</f>
        <v>zo</v>
      </c>
      <c r="N5" s="1" t="str">
        <f>TEXT(WEEKDAY(DATE(CalendarYear,5,12),1),"aaa")</f>
        <v>ma</v>
      </c>
      <c r="O5" s="1" t="str">
        <f>TEXT(WEEKDAY(DATE(CalendarYear,5,13),1),"aaa")</f>
        <v>di</v>
      </c>
      <c r="P5" s="1" t="str">
        <f>TEXT(WEEKDAY(DATE(CalendarYear,5,14),1),"aaa")</f>
        <v>wo</v>
      </c>
      <c r="Q5" s="1" t="str">
        <f>TEXT(WEEKDAY(DATE(CalendarYear,5,15),1),"aaa")</f>
        <v>do</v>
      </c>
      <c r="R5" s="1" t="str">
        <f>TEXT(WEEKDAY(DATE(CalendarYear,5,16),1),"aaa")</f>
        <v>vr</v>
      </c>
      <c r="S5" s="1" t="str">
        <f>TEXT(WEEKDAY(DATE(CalendarYear,5,17),1),"aaa")</f>
        <v>za</v>
      </c>
      <c r="T5" s="1" t="str">
        <f>TEXT(WEEKDAY(DATE(CalendarYear,5,18),1),"aaa")</f>
        <v>zo</v>
      </c>
      <c r="U5" s="1" t="str">
        <f>TEXT(WEEKDAY(DATE(CalendarYear,5,19),1),"aaa")</f>
        <v>ma</v>
      </c>
      <c r="V5" s="1" t="str">
        <f>TEXT(WEEKDAY(DATE(CalendarYear,5,20),1),"aaa")</f>
        <v>di</v>
      </c>
      <c r="W5" s="1" t="str">
        <f>TEXT(WEEKDAY(DATE(CalendarYear,5,21),1),"aaa")</f>
        <v>wo</v>
      </c>
      <c r="X5" s="1" t="str">
        <f>TEXT(WEEKDAY(DATE(CalendarYear,5,22),1),"aaa")</f>
        <v>do</v>
      </c>
      <c r="Y5" s="1" t="str">
        <f>TEXT(WEEKDAY(DATE(CalendarYear,5,23),1),"aaa")</f>
        <v>vr</v>
      </c>
      <c r="Z5" s="1" t="str">
        <f>TEXT(WEEKDAY(DATE(CalendarYear,5,24),1),"aaa")</f>
        <v>za</v>
      </c>
      <c r="AA5" s="1" t="str">
        <f>TEXT(WEEKDAY(DATE(CalendarYear,5,25),1),"aaa")</f>
        <v>zo</v>
      </c>
      <c r="AB5" s="1" t="str">
        <f>TEXT(WEEKDAY(DATE(CalendarYear,5,26),1),"aaa")</f>
        <v>ma</v>
      </c>
      <c r="AC5" s="1" t="str">
        <f>TEXT(WEEKDAY(DATE(CalendarYear,5,27),1),"aaa")</f>
        <v>di</v>
      </c>
      <c r="AD5" s="1" t="str">
        <f>TEXT(WEEKDAY(DATE(CalendarYear,5,28),1),"aaa")</f>
        <v>wo</v>
      </c>
      <c r="AE5" s="1" t="str">
        <f>TEXT(WEEKDAY(DATE(CalendarYear,5,29),1),"aaa")</f>
        <v>do</v>
      </c>
      <c r="AF5" s="1" t="str">
        <f>TEXT(WEEKDAY(DATE(CalendarYear,5,30),1),"aaa")</f>
        <v>vr</v>
      </c>
      <c r="AG5" s="1" t="str">
        <f>TEXT(WEEKDAY(DATE(CalendarYear,5,31),1),"aaa")</f>
        <v>za</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65</v>
      </c>
      <c r="C7" s="1">
        <v>3.5</v>
      </c>
      <c r="D7" s="1">
        <v>3.5</v>
      </c>
      <c r="E7" s="1">
        <v>3.5</v>
      </c>
      <c r="F7" s="1">
        <v>3</v>
      </c>
      <c r="G7" s="1" t="s">
        <v>4</v>
      </c>
      <c r="H7" s="1" t="s">
        <v>67</v>
      </c>
      <c r="I7" s="1" t="s">
        <v>67</v>
      </c>
      <c r="J7" s="1" t="s">
        <v>67</v>
      </c>
      <c r="K7" s="1">
        <v>3.5</v>
      </c>
      <c r="L7" s="1">
        <v>3.5</v>
      </c>
      <c r="M7" s="1">
        <v>3.5</v>
      </c>
      <c r="N7" s="1" t="s">
        <v>4</v>
      </c>
      <c r="O7" s="1" t="s">
        <v>67</v>
      </c>
      <c r="P7" s="1" t="s">
        <v>67</v>
      </c>
      <c r="Q7" s="1" t="s">
        <v>67</v>
      </c>
      <c r="R7" s="1">
        <v>3</v>
      </c>
      <c r="S7" s="1">
        <v>3.5</v>
      </c>
      <c r="T7" s="1">
        <v>3.5</v>
      </c>
      <c r="U7" s="1" t="s">
        <v>4</v>
      </c>
      <c r="V7" s="1" t="s">
        <v>67</v>
      </c>
      <c r="W7" s="1" t="s">
        <v>67</v>
      </c>
      <c r="X7" s="1" t="s">
        <v>67</v>
      </c>
      <c r="Y7" s="1">
        <v>3</v>
      </c>
      <c r="Z7" s="1">
        <v>3.5</v>
      </c>
      <c r="AA7" s="1" t="s">
        <v>4</v>
      </c>
      <c r="AB7" s="1" t="s">
        <v>4</v>
      </c>
      <c r="AC7" s="1" t="s">
        <v>67</v>
      </c>
      <c r="AD7" s="1" t="s">
        <v>67</v>
      </c>
      <c r="AE7" s="1">
        <v>3.5</v>
      </c>
      <c r="AF7" s="1">
        <v>3.5</v>
      </c>
      <c r="AG7" s="1">
        <v>3.5</v>
      </c>
      <c r="AH7" s="7">
        <f>SUM(Mei[[#This Row],[1]:[31]])</f>
        <v>51</v>
      </c>
    </row>
    <row r="8" spans="2:34" ht="30" customHeight="1" x14ac:dyDescent="0.25">
      <c r="B8" t="s">
        <v>61</v>
      </c>
      <c r="C8" s="1">
        <v>4</v>
      </c>
      <c r="D8" s="1">
        <v>4</v>
      </c>
      <c r="E8" s="1" t="s">
        <v>67</v>
      </c>
      <c r="F8" s="1" t="s">
        <v>67</v>
      </c>
      <c r="G8" s="1" t="s">
        <v>4</v>
      </c>
      <c r="H8" s="1" t="s">
        <v>67</v>
      </c>
      <c r="I8" s="1" t="s">
        <v>67</v>
      </c>
      <c r="J8" s="1" t="s">
        <v>67</v>
      </c>
      <c r="K8" s="1" t="s">
        <v>4</v>
      </c>
      <c r="L8" s="1" t="s">
        <v>4</v>
      </c>
      <c r="M8" s="1" t="s">
        <v>4</v>
      </c>
      <c r="N8" s="1" t="s">
        <v>4</v>
      </c>
      <c r="O8" s="1" t="s">
        <v>4</v>
      </c>
      <c r="P8" s="1" t="s">
        <v>4</v>
      </c>
      <c r="Q8" s="1" t="s">
        <v>4</v>
      </c>
      <c r="R8" s="1" t="s">
        <v>4</v>
      </c>
      <c r="S8" s="1" t="s">
        <v>4</v>
      </c>
      <c r="T8" s="1" t="s">
        <v>4</v>
      </c>
      <c r="U8" s="1" t="s">
        <v>4</v>
      </c>
      <c r="V8" s="1" t="s">
        <v>4</v>
      </c>
      <c r="W8" s="1" t="s">
        <v>4</v>
      </c>
      <c r="X8" s="1" t="s">
        <v>4</v>
      </c>
      <c r="Y8" s="1" t="s">
        <v>4</v>
      </c>
      <c r="Z8" s="1" t="s">
        <v>4</v>
      </c>
      <c r="AA8" s="1" t="s">
        <v>4</v>
      </c>
      <c r="AB8" s="1" t="s">
        <v>4</v>
      </c>
      <c r="AC8" s="1" t="s">
        <v>4</v>
      </c>
      <c r="AD8" s="1" t="s">
        <v>4</v>
      </c>
      <c r="AE8" s="1" t="s">
        <v>4</v>
      </c>
      <c r="AF8" s="1" t="s">
        <v>4</v>
      </c>
      <c r="AG8" s="1" t="s">
        <v>4</v>
      </c>
      <c r="AH8" s="7">
        <f>SUM(Mei[[#This Row],[1]:[31]])</f>
        <v>8</v>
      </c>
    </row>
    <row r="9" spans="2:34" ht="30" customHeight="1" x14ac:dyDescent="0.25">
      <c r="B9" s="19" t="s">
        <v>77</v>
      </c>
      <c r="C9" s="1">
        <v>3.5</v>
      </c>
      <c r="D9" s="1">
        <v>3.5</v>
      </c>
      <c r="E9" s="1">
        <v>3.5</v>
      </c>
      <c r="F9" s="1">
        <v>3.5</v>
      </c>
      <c r="G9" s="1" t="s">
        <v>4</v>
      </c>
      <c r="H9" s="1" t="s">
        <v>67</v>
      </c>
      <c r="I9" s="1" t="s">
        <v>67</v>
      </c>
      <c r="J9" s="1" t="s">
        <v>67</v>
      </c>
      <c r="K9" s="1" t="s">
        <v>67</v>
      </c>
      <c r="L9" s="1">
        <v>3.5</v>
      </c>
      <c r="M9" s="1">
        <v>3.5</v>
      </c>
      <c r="N9" s="1" t="s">
        <v>4</v>
      </c>
      <c r="O9" s="1" t="s">
        <v>67</v>
      </c>
      <c r="P9" s="1" t="s">
        <v>67</v>
      </c>
      <c r="Q9" s="1" t="s">
        <v>67</v>
      </c>
      <c r="R9" s="1">
        <v>3.5</v>
      </c>
      <c r="S9" s="1">
        <v>3.5</v>
      </c>
      <c r="T9" s="1">
        <v>3.5</v>
      </c>
      <c r="U9" s="1" t="s">
        <v>4</v>
      </c>
      <c r="V9" s="1" t="s">
        <v>67</v>
      </c>
      <c r="W9" s="1" t="s">
        <v>67</v>
      </c>
      <c r="X9" s="1" t="s">
        <v>67</v>
      </c>
      <c r="Y9" s="1" t="s">
        <v>67</v>
      </c>
      <c r="Z9" s="1">
        <v>3.5</v>
      </c>
      <c r="AA9" s="1">
        <v>3.5</v>
      </c>
      <c r="AB9" s="1" t="s">
        <v>4</v>
      </c>
      <c r="AC9" s="1" t="s">
        <v>67</v>
      </c>
      <c r="AD9" s="1" t="s">
        <v>67</v>
      </c>
      <c r="AE9" s="1">
        <v>3.5</v>
      </c>
      <c r="AF9" s="1">
        <v>3.5</v>
      </c>
      <c r="AG9" s="1">
        <v>3.5</v>
      </c>
      <c r="AH9" s="7">
        <f>SUM(Mei[[#This Row],[1]:[31]])</f>
        <v>49</v>
      </c>
    </row>
    <row r="10" spans="2:34" ht="30" customHeight="1" x14ac:dyDescent="0.25">
      <c r="B10" s="20" t="s">
        <v>76</v>
      </c>
      <c r="C10" s="1" t="s">
        <v>67</v>
      </c>
      <c r="D10" s="1" t="s">
        <v>4</v>
      </c>
      <c r="E10" s="1" t="s">
        <v>4</v>
      </c>
      <c r="F10" s="1" t="s">
        <v>4</v>
      </c>
      <c r="G10" s="1" t="s">
        <v>4</v>
      </c>
      <c r="H10" s="1" t="s">
        <v>67</v>
      </c>
      <c r="I10" s="1" t="s">
        <v>67</v>
      </c>
      <c r="J10" s="1" t="s">
        <v>67</v>
      </c>
      <c r="K10" s="1">
        <v>5</v>
      </c>
      <c r="L10" s="1">
        <v>5</v>
      </c>
      <c r="M10" s="1">
        <v>5</v>
      </c>
      <c r="N10" s="1" t="s">
        <v>4</v>
      </c>
      <c r="O10" s="1" t="s">
        <v>67</v>
      </c>
      <c r="P10" s="1" t="s">
        <v>67</v>
      </c>
      <c r="Q10" s="1" t="s">
        <v>67</v>
      </c>
      <c r="R10" s="1">
        <v>5</v>
      </c>
      <c r="S10" s="1">
        <v>5</v>
      </c>
      <c r="T10" s="1">
        <v>5</v>
      </c>
      <c r="U10" s="1" t="s">
        <v>4</v>
      </c>
      <c r="V10" s="1" t="s">
        <v>67</v>
      </c>
      <c r="W10" s="1" t="s">
        <v>67</v>
      </c>
      <c r="X10" s="1" t="s">
        <v>67</v>
      </c>
      <c r="Y10" s="1">
        <v>5</v>
      </c>
      <c r="Z10" s="1">
        <v>5</v>
      </c>
      <c r="AA10" s="1">
        <v>5</v>
      </c>
      <c r="AB10" s="1" t="s">
        <v>4</v>
      </c>
      <c r="AC10" s="1" t="s">
        <v>67</v>
      </c>
      <c r="AD10" s="1" t="s">
        <v>67</v>
      </c>
      <c r="AE10" s="1">
        <v>5</v>
      </c>
      <c r="AF10" s="1">
        <v>5</v>
      </c>
      <c r="AG10" s="1">
        <v>5</v>
      </c>
      <c r="AH10" s="7">
        <f>SUM(Mei[[#This Row],[1]:[31]])</f>
        <v>60</v>
      </c>
    </row>
    <row r="11" spans="2:34" ht="30" customHeight="1" x14ac:dyDescent="0.25">
      <c r="B11" t="s">
        <v>64</v>
      </c>
      <c r="C11" s="1" t="s">
        <v>67</v>
      </c>
      <c r="D11" s="1" t="s">
        <v>67</v>
      </c>
      <c r="E11" s="1">
        <v>4</v>
      </c>
      <c r="F11" s="1">
        <v>4</v>
      </c>
      <c r="G11" s="1" t="s">
        <v>4</v>
      </c>
      <c r="H11" s="1" t="s">
        <v>67</v>
      </c>
      <c r="I11" s="1">
        <v>4</v>
      </c>
      <c r="J11" s="1">
        <v>4</v>
      </c>
      <c r="K11" s="1">
        <v>4</v>
      </c>
      <c r="L11" s="1">
        <v>4</v>
      </c>
      <c r="M11" s="1">
        <v>4</v>
      </c>
      <c r="N11" s="1" t="s">
        <v>4</v>
      </c>
      <c r="O11" s="1" t="s">
        <v>67</v>
      </c>
      <c r="P11" s="1" t="s">
        <v>67</v>
      </c>
      <c r="Q11" s="1" t="s">
        <v>67</v>
      </c>
      <c r="R11" s="1" t="s">
        <v>67</v>
      </c>
      <c r="S11" s="1">
        <v>4</v>
      </c>
      <c r="T11" s="1">
        <v>4</v>
      </c>
      <c r="U11" s="1" t="s">
        <v>4</v>
      </c>
      <c r="V11" s="1" t="s">
        <v>67</v>
      </c>
      <c r="W11" s="1">
        <v>4</v>
      </c>
      <c r="X11" s="1">
        <v>4</v>
      </c>
      <c r="Y11" s="1">
        <v>4</v>
      </c>
      <c r="Z11" s="1">
        <v>4</v>
      </c>
      <c r="AA11" s="1">
        <v>4</v>
      </c>
      <c r="AB11" s="1" t="s">
        <v>4</v>
      </c>
      <c r="AC11" s="1" t="s">
        <v>67</v>
      </c>
      <c r="AD11" s="1" t="s">
        <v>67</v>
      </c>
      <c r="AE11" s="1">
        <v>4</v>
      </c>
      <c r="AF11" s="1" t="s">
        <v>67</v>
      </c>
      <c r="AG11" s="1">
        <v>4</v>
      </c>
      <c r="AH11" s="7">
        <f>SUM(Mei[[#This Row],[1]:[31]])</f>
        <v>64</v>
      </c>
    </row>
    <row r="12" spans="2:34" ht="30" customHeight="1" x14ac:dyDescent="0.25">
      <c r="B12" t="s">
        <v>71</v>
      </c>
      <c r="C12" s="1">
        <v>5</v>
      </c>
      <c r="D12" s="1">
        <v>5</v>
      </c>
      <c r="E12" s="1">
        <v>5</v>
      </c>
      <c r="F12" s="1">
        <v>5</v>
      </c>
      <c r="G12" s="1" t="s">
        <v>4</v>
      </c>
      <c r="H12" s="1" t="s">
        <v>67</v>
      </c>
      <c r="I12" s="1" t="s">
        <v>67</v>
      </c>
      <c r="J12" s="1" t="s">
        <v>67</v>
      </c>
      <c r="K12" s="1" t="s">
        <v>67</v>
      </c>
      <c r="L12" s="1">
        <v>5</v>
      </c>
      <c r="M12" s="1">
        <v>5</v>
      </c>
      <c r="N12" s="1" t="s">
        <v>4</v>
      </c>
      <c r="O12" s="1" t="s">
        <v>67</v>
      </c>
      <c r="P12" s="1" t="s">
        <v>67</v>
      </c>
      <c r="Q12" s="1" t="s">
        <v>67</v>
      </c>
      <c r="R12" s="1">
        <v>5</v>
      </c>
      <c r="S12" s="1">
        <v>5</v>
      </c>
      <c r="T12" s="1">
        <v>5</v>
      </c>
      <c r="U12" s="1" t="s">
        <v>4</v>
      </c>
      <c r="V12" s="1" t="s">
        <v>67</v>
      </c>
      <c r="W12" s="1" t="s">
        <v>67</v>
      </c>
      <c r="X12" s="1" t="s">
        <v>67</v>
      </c>
      <c r="Y12" s="1" t="s">
        <v>67</v>
      </c>
      <c r="Z12" s="1">
        <v>5</v>
      </c>
      <c r="AA12" s="1">
        <v>5</v>
      </c>
      <c r="AB12" s="1" t="s">
        <v>4</v>
      </c>
      <c r="AC12" s="1" t="s">
        <v>67</v>
      </c>
      <c r="AD12" s="1" t="s">
        <v>67</v>
      </c>
      <c r="AE12" s="1">
        <v>5</v>
      </c>
      <c r="AF12" s="1">
        <v>5</v>
      </c>
      <c r="AG12" s="1">
        <v>5</v>
      </c>
      <c r="AH12" s="7">
        <f>SUM(Mei[[#This Row],[1]:[31]])</f>
        <v>70</v>
      </c>
    </row>
    <row r="13" spans="2:34" ht="30" customHeight="1" x14ac:dyDescent="0.25">
      <c r="B13" t="s">
        <v>70</v>
      </c>
      <c r="C13" s="1">
        <v>4</v>
      </c>
      <c r="D13" s="1">
        <v>4</v>
      </c>
      <c r="E13" s="1">
        <v>4</v>
      </c>
      <c r="F13" s="1">
        <v>4</v>
      </c>
      <c r="G13" s="1" t="s">
        <v>4</v>
      </c>
      <c r="H13" s="1" t="s">
        <v>67</v>
      </c>
      <c r="I13" s="1" t="s">
        <v>67</v>
      </c>
      <c r="J13" s="1">
        <v>4</v>
      </c>
      <c r="K13" s="1">
        <v>4</v>
      </c>
      <c r="L13" s="1">
        <v>4</v>
      </c>
      <c r="M13" s="1">
        <v>4</v>
      </c>
      <c r="N13" s="1" t="s">
        <v>4</v>
      </c>
      <c r="O13" s="1" t="s">
        <v>67</v>
      </c>
      <c r="P13" s="1" t="s">
        <v>67</v>
      </c>
      <c r="Q13" s="1">
        <v>4</v>
      </c>
      <c r="R13" s="1">
        <v>4</v>
      </c>
      <c r="S13" s="1">
        <v>4</v>
      </c>
      <c r="T13" s="1">
        <v>4</v>
      </c>
      <c r="U13" s="1" t="s">
        <v>4</v>
      </c>
      <c r="V13" s="1" t="s">
        <v>67</v>
      </c>
      <c r="W13" s="1" t="s">
        <v>67</v>
      </c>
      <c r="X13" s="1">
        <v>4</v>
      </c>
      <c r="Y13" s="1">
        <v>4</v>
      </c>
      <c r="Z13" s="1">
        <v>4</v>
      </c>
      <c r="AA13" s="1">
        <v>4</v>
      </c>
      <c r="AB13" s="1" t="s">
        <v>4</v>
      </c>
      <c r="AC13" s="1" t="s">
        <v>67</v>
      </c>
      <c r="AD13" s="1" t="s">
        <v>67</v>
      </c>
      <c r="AE13" s="1">
        <v>4</v>
      </c>
      <c r="AF13" s="1">
        <v>4</v>
      </c>
      <c r="AG13" s="1">
        <v>4</v>
      </c>
      <c r="AH13" s="7">
        <f>SUM(Mei[[#This Row],[1]:[31]])</f>
        <v>76</v>
      </c>
    </row>
    <row r="14" spans="2:34" ht="30" customHeight="1" x14ac:dyDescent="0.25">
      <c r="B14" t="s">
        <v>63</v>
      </c>
      <c r="C14" s="1">
        <v>3.5</v>
      </c>
      <c r="D14" s="1">
        <v>3.5</v>
      </c>
      <c r="E14" s="1">
        <v>3.5</v>
      </c>
      <c r="F14" s="1">
        <v>3.5</v>
      </c>
      <c r="G14" s="1" t="s">
        <v>4</v>
      </c>
      <c r="H14" s="1">
        <v>3.5</v>
      </c>
      <c r="I14" s="1">
        <v>3.5</v>
      </c>
      <c r="J14" s="1" t="s">
        <v>67</v>
      </c>
      <c r="K14" s="1" t="s">
        <v>67</v>
      </c>
      <c r="L14" s="1" t="s">
        <v>67</v>
      </c>
      <c r="M14" s="1">
        <v>3.5</v>
      </c>
      <c r="N14" s="1" t="s">
        <v>4</v>
      </c>
      <c r="O14" s="1" t="s">
        <v>67</v>
      </c>
      <c r="P14" s="1">
        <v>3.5</v>
      </c>
      <c r="Q14" s="1" t="s">
        <v>67</v>
      </c>
      <c r="R14" s="1" t="s">
        <v>67</v>
      </c>
      <c r="S14" s="1" t="s">
        <v>67</v>
      </c>
      <c r="T14" s="1">
        <v>3.5</v>
      </c>
      <c r="U14" s="1" t="s">
        <v>4</v>
      </c>
      <c r="V14" s="1">
        <v>3.5</v>
      </c>
      <c r="W14" s="1" t="s">
        <v>67</v>
      </c>
      <c r="X14" s="1" t="s">
        <v>67</v>
      </c>
      <c r="Y14" s="1">
        <v>3.5</v>
      </c>
      <c r="Z14" s="1">
        <v>3</v>
      </c>
      <c r="AA14" s="1">
        <v>3.5</v>
      </c>
      <c r="AB14" s="1" t="s">
        <v>4</v>
      </c>
      <c r="AC14" s="1" t="s">
        <v>67</v>
      </c>
      <c r="AD14" s="1" t="s">
        <v>67</v>
      </c>
      <c r="AE14" s="1" t="s">
        <v>67</v>
      </c>
      <c r="AF14" s="1">
        <v>3.5</v>
      </c>
      <c r="AG14" s="1" t="s">
        <v>4</v>
      </c>
      <c r="AH14" s="7">
        <f>SUM(Mei[[#This Row],[1]:[31]])</f>
        <v>48.5</v>
      </c>
    </row>
    <row r="15" spans="2:34" ht="30" customHeight="1" x14ac:dyDescent="0.25">
      <c r="B15" t="s">
        <v>78</v>
      </c>
      <c r="C15" s="1" t="s">
        <v>67</v>
      </c>
      <c r="D15" s="1" t="s">
        <v>67</v>
      </c>
      <c r="E15" s="1">
        <v>4</v>
      </c>
      <c r="F15" s="1">
        <v>4</v>
      </c>
      <c r="G15" s="1" t="s">
        <v>4</v>
      </c>
      <c r="H15" s="1" t="s">
        <v>67</v>
      </c>
      <c r="I15" s="1" t="s">
        <v>67</v>
      </c>
      <c r="J15" s="1" t="s">
        <v>67</v>
      </c>
      <c r="K15" s="1">
        <v>4</v>
      </c>
      <c r="L15" s="1">
        <v>4</v>
      </c>
      <c r="M15" s="1">
        <v>4</v>
      </c>
      <c r="N15" s="1" t="s">
        <v>4</v>
      </c>
      <c r="O15" s="1" t="s">
        <v>67</v>
      </c>
      <c r="P15" s="1" t="s">
        <v>67</v>
      </c>
      <c r="Q15" s="1" t="s">
        <v>67</v>
      </c>
      <c r="R15" s="1" t="s">
        <v>67</v>
      </c>
      <c r="S15" s="1">
        <v>4</v>
      </c>
      <c r="T15" s="1">
        <v>4</v>
      </c>
      <c r="U15" s="1" t="s">
        <v>4</v>
      </c>
      <c r="V15" s="1" t="s">
        <v>67</v>
      </c>
      <c r="W15" s="1" t="s">
        <v>67</v>
      </c>
      <c r="X15" s="1" t="s">
        <v>67</v>
      </c>
      <c r="Y15" s="1" t="s">
        <v>67</v>
      </c>
      <c r="Z15" s="1">
        <v>4</v>
      </c>
      <c r="AA15" s="1">
        <v>4</v>
      </c>
      <c r="AB15" s="1" t="s">
        <v>4</v>
      </c>
      <c r="AC15" s="1" t="s">
        <v>67</v>
      </c>
      <c r="AD15" s="1" t="s">
        <v>67</v>
      </c>
      <c r="AE15" s="1">
        <v>4</v>
      </c>
      <c r="AF15" s="1">
        <v>4</v>
      </c>
      <c r="AG15" s="1">
        <v>4</v>
      </c>
      <c r="AH15" s="7">
        <f>SUM(Mei[[#This Row],[1]:[31]])</f>
        <v>48</v>
      </c>
    </row>
    <row r="16" spans="2:34" ht="30" customHeight="1" x14ac:dyDescent="0.25">
      <c r="B16" t="s">
        <v>62</v>
      </c>
      <c r="C16" s="1" t="s">
        <v>67</v>
      </c>
      <c r="D16" s="1" t="s">
        <v>67</v>
      </c>
      <c r="E16" s="1">
        <v>3.5</v>
      </c>
      <c r="F16" s="1">
        <v>3.5</v>
      </c>
      <c r="G16" s="1" t="s">
        <v>4</v>
      </c>
      <c r="H16" s="1" t="s">
        <v>67</v>
      </c>
      <c r="I16" s="1" t="s">
        <v>67</v>
      </c>
      <c r="J16" s="1" t="s">
        <v>67</v>
      </c>
      <c r="K16" s="1" t="s">
        <v>67</v>
      </c>
      <c r="L16" s="1">
        <v>3.5</v>
      </c>
      <c r="M16" s="1">
        <v>3.5</v>
      </c>
      <c r="N16" s="1" t="s">
        <v>4</v>
      </c>
      <c r="O16" s="1" t="s">
        <v>67</v>
      </c>
      <c r="P16" s="1" t="s">
        <v>67</v>
      </c>
      <c r="Q16" s="1" t="s">
        <v>67</v>
      </c>
      <c r="R16" s="1" t="s">
        <v>67</v>
      </c>
      <c r="S16" s="1">
        <v>3.5</v>
      </c>
      <c r="T16" s="1">
        <v>3.5</v>
      </c>
      <c r="U16" s="1" t="s">
        <v>4</v>
      </c>
      <c r="V16" s="1" t="s">
        <v>67</v>
      </c>
      <c r="W16" s="1" t="s">
        <v>67</v>
      </c>
      <c r="X16" s="1" t="s">
        <v>67</v>
      </c>
      <c r="Y16" s="1" t="s">
        <v>67</v>
      </c>
      <c r="Z16" s="1">
        <v>3.5</v>
      </c>
      <c r="AA16" s="1">
        <v>3.5</v>
      </c>
      <c r="AB16" s="1" t="s">
        <v>4</v>
      </c>
      <c r="AC16" s="1" t="s">
        <v>67</v>
      </c>
      <c r="AD16" s="1" t="s">
        <v>67</v>
      </c>
      <c r="AE16" s="1" t="s">
        <v>67</v>
      </c>
      <c r="AF16" s="1" t="s">
        <v>67</v>
      </c>
      <c r="AG16" s="1" t="s">
        <v>67</v>
      </c>
      <c r="AH16" s="7">
        <f>SUM(Mei[[#This Row],[1]:[31]])</f>
        <v>28</v>
      </c>
    </row>
    <row r="17" spans="2:34" ht="30" customHeight="1" x14ac:dyDescent="0.25">
      <c r="B17" s="19" t="s">
        <v>75</v>
      </c>
      <c r="C17" s="1">
        <v>5</v>
      </c>
      <c r="D17" s="1">
        <v>5</v>
      </c>
      <c r="E17" s="1">
        <v>5</v>
      </c>
      <c r="F17" s="1">
        <v>5</v>
      </c>
      <c r="G17" s="1" t="s">
        <v>4</v>
      </c>
      <c r="H17" s="1" t="s">
        <v>67</v>
      </c>
      <c r="I17" s="1" t="s">
        <v>67</v>
      </c>
      <c r="J17" s="1" t="s">
        <v>67</v>
      </c>
      <c r="K17" s="1">
        <v>5</v>
      </c>
      <c r="L17" s="1">
        <v>5</v>
      </c>
      <c r="M17" s="1">
        <v>5</v>
      </c>
      <c r="N17" s="1" t="s">
        <v>4</v>
      </c>
      <c r="O17" s="1" t="s">
        <v>67</v>
      </c>
      <c r="P17" s="1" t="s">
        <v>67</v>
      </c>
      <c r="Q17" s="1" t="s">
        <v>67</v>
      </c>
      <c r="R17" s="1">
        <v>5</v>
      </c>
      <c r="S17" s="1">
        <v>5</v>
      </c>
      <c r="T17" s="1">
        <v>5</v>
      </c>
      <c r="U17" s="1" t="s">
        <v>4</v>
      </c>
      <c r="V17" s="1" t="s">
        <v>67</v>
      </c>
      <c r="W17" s="1" t="s">
        <v>67</v>
      </c>
      <c r="X17" s="1" t="s">
        <v>67</v>
      </c>
      <c r="Y17" s="1">
        <v>5</v>
      </c>
      <c r="Z17" s="1">
        <v>5</v>
      </c>
      <c r="AA17" s="1">
        <v>5</v>
      </c>
      <c r="AB17" s="1" t="s">
        <v>4</v>
      </c>
      <c r="AC17" s="1" t="s">
        <v>67</v>
      </c>
      <c r="AD17" s="1" t="s">
        <v>67</v>
      </c>
      <c r="AE17" s="1">
        <v>5</v>
      </c>
      <c r="AF17" s="1">
        <v>5</v>
      </c>
      <c r="AG17" s="1">
        <v>5</v>
      </c>
      <c r="AH17" s="7">
        <f>SUM(Mei[[#This Row],[1]:[31]])</f>
        <v>80</v>
      </c>
    </row>
    <row r="18" spans="2:34" ht="30" customHeight="1" x14ac:dyDescent="0.25">
      <c r="B18" s="16" t="str">
        <f>MonthName&amp;" Totaal"</f>
        <v>Mei Totaal</v>
      </c>
      <c r="C18" s="9">
        <f t="shared" ref="C18:AG18" si="0">SUM(C7:C17)</f>
        <v>28.5</v>
      </c>
      <c r="D18" s="9">
        <f t="shared" si="0"/>
        <v>28.5</v>
      </c>
      <c r="E18" s="9">
        <f t="shared" si="0"/>
        <v>36</v>
      </c>
      <c r="F18" s="9">
        <f t="shared" si="0"/>
        <v>35.5</v>
      </c>
      <c r="G18" s="9">
        <f t="shared" si="0"/>
        <v>0</v>
      </c>
      <c r="H18" s="9">
        <f t="shared" si="0"/>
        <v>3.5</v>
      </c>
      <c r="I18" s="9">
        <f t="shared" si="0"/>
        <v>7.5</v>
      </c>
      <c r="J18" s="9">
        <f t="shared" si="0"/>
        <v>8</v>
      </c>
      <c r="K18" s="9">
        <f t="shared" si="0"/>
        <v>25.5</v>
      </c>
      <c r="L18" s="9">
        <f t="shared" si="0"/>
        <v>37.5</v>
      </c>
      <c r="M18" s="9">
        <f t="shared" si="0"/>
        <v>41</v>
      </c>
      <c r="N18" s="9">
        <f t="shared" si="0"/>
        <v>0</v>
      </c>
      <c r="O18" s="9">
        <f t="shared" si="0"/>
        <v>0</v>
      </c>
      <c r="P18" s="9">
        <f t="shared" si="0"/>
        <v>3.5</v>
      </c>
      <c r="Q18" s="9">
        <f t="shared" si="0"/>
        <v>4</v>
      </c>
      <c r="R18" s="9">
        <f t="shared" si="0"/>
        <v>25.5</v>
      </c>
      <c r="S18" s="9">
        <f t="shared" si="0"/>
        <v>37.5</v>
      </c>
      <c r="T18" s="9">
        <f t="shared" si="0"/>
        <v>41</v>
      </c>
      <c r="U18" s="9">
        <f t="shared" si="0"/>
        <v>0</v>
      </c>
      <c r="V18" s="9">
        <f t="shared" si="0"/>
        <v>3.5</v>
      </c>
      <c r="W18" s="9">
        <f t="shared" si="0"/>
        <v>4</v>
      </c>
      <c r="X18" s="9">
        <f t="shared" si="0"/>
        <v>8</v>
      </c>
      <c r="Y18" s="9">
        <f t="shared" si="0"/>
        <v>24.5</v>
      </c>
      <c r="Z18" s="9">
        <f t="shared" si="0"/>
        <v>40.5</v>
      </c>
      <c r="AA18" s="9">
        <f t="shared" si="0"/>
        <v>37.5</v>
      </c>
      <c r="AB18" s="9">
        <f t="shared" si="0"/>
        <v>0</v>
      </c>
      <c r="AC18" s="9">
        <f t="shared" si="0"/>
        <v>0</v>
      </c>
      <c r="AD18" s="9">
        <f t="shared" si="0"/>
        <v>0</v>
      </c>
      <c r="AE18" s="9">
        <f t="shared" si="0"/>
        <v>34</v>
      </c>
      <c r="AF18" s="9">
        <f t="shared" si="0"/>
        <v>33.5</v>
      </c>
      <c r="AG18" s="9">
        <f t="shared" si="0"/>
        <v>34</v>
      </c>
      <c r="AH18" s="9">
        <f>SUBTOTAL(109,Mei[Totaal aantal uren])</f>
        <v>582.5</v>
      </c>
    </row>
  </sheetData>
  <mergeCells count="6">
    <mergeCell ref="C4:AG4"/>
    <mergeCell ref="D2:F2"/>
    <mergeCell ref="H2:J2"/>
    <mergeCell ref="L2:M2"/>
    <mergeCell ref="O2:Q2"/>
    <mergeCell ref="S2:U2"/>
  </mergeCells>
  <conditionalFormatting sqref="C7:C17 H8:J17">
    <cfRule type="expression" priority="1" stopIfTrue="1">
      <formula>C7=""</formula>
    </cfRule>
    <cfRule type="expression" dxfId="387" priority="2" stopIfTrue="1">
      <formula>C7=KeyCustom2</formula>
    </cfRule>
    <cfRule type="expression" dxfId="386" priority="3" stopIfTrue="1">
      <formula>C7=KeyCustom1</formula>
    </cfRule>
    <cfRule type="expression" dxfId="385" priority="4" stopIfTrue="1">
      <formula>C7=KeySick</formula>
    </cfRule>
    <cfRule type="expression" dxfId="384" priority="5" stopIfTrue="1">
      <formula>C7=KeyPersonal</formula>
    </cfRule>
    <cfRule type="expression" dxfId="383" priority="6" stopIfTrue="1">
      <formula>C7=KeyVacation</formula>
    </cfRule>
  </conditionalFormatting>
  <conditionalFormatting sqref="G7:G17">
    <cfRule type="expression" priority="31" stopIfTrue="1">
      <formula>G7=""</formula>
    </cfRule>
    <cfRule type="expression" dxfId="382" priority="33" stopIfTrue="1">
      <formula>G7=KeyCustom1</formula>
    </cfRule>
    <cfRule type="expression" dxfId="381" priority="36" stopIfTrue="1">
      <formula>G7=KeyVacation</formula>
    </cfRule>
    <cfRule type="expression" dxfId="380" priority="35" stopIfTrue="1">
      <formula>G7=KeyPersonal</formula>
    </cfRule>
    <cfRule type="expression" dxfId="379" priority="34" stopIfTrue="1">
      <formula>G7=KeySick</formula>
    </cfRule>
    <cfRule type="expression" dxfId="378" priority="32" stopIfTrue="1">
      <formula>G7=KeyCustom2</formula>
    </cfRule>
  </conditionalFormatting>
  <conditionalFormatting sqref="H7">
    <cfRule type="expression" dxfId="377" priority="101" stopIfTrue="1">
      <formula>H7=KeyPersonal</formula>
    </cfRule>
    <cfRule type="expression" dxfId="376" priority="100" stopIfTrue="1">
      <formula>H7=KeySick</formula>
    </cfRule>
    <cfRule type="expression" dxfId="375" priority="102" stopIfTrue="1">
      <formula>H7=KeyVacation</formula>
    </cfRule>
    <cfRule type="expression" priority="97" stopIfTrue="1">
      <formula>H7=""</formula>
    </cfRule>
    <cfRule type="expression" dxfId="374" priority="98" stopIfTrue="1">
      <formula>H7=KeyCustom2</formula>
    </cfRule>
    <cfRule type="expression" dxfId="373" priority="99" stopIfTrue="1">
      <formula>H7=KeyCustom1</formula>
    </cfRule>
  </conditionalFormatting>
  <conditionalFormatting sqref="I7:J7">
    <cfRule type="expression" dxfId="372" priority="108" stopIfTrue="1">
      <formula>I7=KeyVacation</formula>
    </cfRule>
    <cfRule type="expression" priority="103" stopIfTrue="1">
      <formula>I7=""</formula>
    </cfRule>
    <cfRule type="expression" dxfId="371" priority="107" stopIfTrue="1">
      <formula>I7=KeyPersonal</formula>
    </cfRule>
    <cfRule type="expression" dxfId="370" priority="106" stopIfTrue="1">
      <formula>I7=KeySick</formula>
    </cfRule>
    <cfRule type="expression" dxfId="369" priority="105" stopIfTrue="1">
      <formula>I7=KeyCustom1</formula>
    </cfRule>
    <cfRule type="expression" dxfId="368" priority="104" stopIfTrue="1">
      <formula>I7=KeyCustom2</formula>
    </cfRule>
  </conditionalFormatting>
  <conditionalFormatting sqref="K7:M17">
    <cfRule type="expression" dxfId="367" priority="96" stopIfTrue="1">
      <formula>K7=KeyVacation</formula>
    </cfRule>
    <cfRule type="expression" dxfId="366" priority="95" stopIfTrue="1">
      <formula>K7=KeyPersonal</formula>
    </cfRule>
    <cfRule type="expression" dxfId="365" priority="94" stopIfTrue="1">
      <formula>K7=KeySick</formula>
    </cfRule>
    <cfRule type="expression" dxfId="364" priority="93" stopIfTrue="1">
      <formula>K7=KeyCustom1</formula>
    </cfRule>
    <cfRule type="expression" dxfId="363" priority="92" stopIfTrue="1">
      <formula>K7=KeyCustom2</formula>
    </cfRule>
    <cfRule type="expression" priority="91" stopIfTrue="1">
      <formula>K7=""</formula>
    </cfRule>
  </conditionalFormatting>
  <conditionalFormatting sqref="N7 N9:N17">
    <cfRule type="expression" dxfId="362" priority="30" stopIfTrue="1">
      <formula>N7=KeyVacation</formula>
    </cfRule>
    <cfRule type="expression" dxfId="361" priority="29" stopIfTrue="1">
      <formula>N7=KeyPersonal</formula>
    </cfRule>
    <cfRule type="expression" dxfId="360" priority="28" stopIfTrue="1">
      <formula>N7=KeySick</formula>
    </cfRule>
    <cfRule type="expression" dxfId="359" priority="27" stopIfTrue="1">
      <formula>N7=KeyCustom1</formula>
    </cfRule>
    <cfRule type="expression" priority="25" stopIfTrue="1">
      <formula>N7=""</formula>
    </cfRule>
    <cfRule type="expression" dxfId="358" priority="26" stopIfTrue="1">
      <formula>N7=KeyCustom2</formula>
    </cfRule>
  </conditionalFormatting>
  <conditionalFormatting sqref="O7">
    <cfRule type="expression" priority="79" stopIfTrue="1">
      <formula>O7=""</formula>
    </cfRule>
    <cfRule type="expression" dxfId="357" priority="80" stopIfTrue="1">
      <formula>O7=KeyCustom2</formula>
    </cfRule>
    <cfRule type="expression" dxfId="356" priority="84" stopIfTrue="1">
      <formula>O7=KeyVacation</formula>
    </cfRule>
    <cfRule type="expression" dxfId="355" priority="83" stopIfTrue="1">
      <formula>O7=KeyPersonal</formula>
    </cfRule>
    <cfRule type="expression" dxfId="354" priority="82" stopIfTrue="1">
      <formula>O7=KeySick</formula>
    </cfRule>
    <cfRule type="expression" dxfId="353" priority="81" stopIfTrue="1">
      <formula>O7=KeyCustom1</formula>
    </cfRule>
  </conditionalFormatting>
  <conditionalFormatting sqref="O9:T17">
    <cfRule type="expression" dxfId="352" priority="78" stopIfTrue="1">
      <formula>O9=KeyVacation</formula>
    </cfRule>
    <cfRule type="expression" dxfId="351" priority="77" stopIfTrue="1">
      <formula>O9=KeyPersonal</formula>
    </cfRule>
    <cfRule type="expression" priority="73" stopIfTrue="1">
      <formula>O9=""</formula>
    </cfRule>
    <cfRule type="expression" dxfId="350" priority="75" stopIfTrue="1">
      <formula>O9=KeyCustom1</formula>
    </cfRule>
    <cfRule type="expression" dxfId="349" priority="76" stopIfTrue="1">
      <formula>O9=KeySick</formula>
    </cfRule>
    <cfRule type="expression" dxfId="348" priority="74" stopIfTrue="1">
      <formula>O9=KeyCustom2</formula>
    </cfRule>
  </conditionalFormatting>
  <conditionalFormatting sqref="P7:Q7">
    <cfRule type="expression" dxfId="347" priority="89" stopIfTrue="1">
      <formula>P7=KeyPersonal</formula>
    </cfRule>
    <cfRule type="expression" priority="85" stopIfTrue="1">
      <formula>P7=""</formula>
    </cfRule>
    <cfRule type="expression" dxfId="346" priority="86" stopIfTrue="1">
      <formula>P7=KeyCustom2</formula>
    </cfRule>
    <cfRule type="expression" dxfId="345" priority="87" stopIfTrue="1">
      <formula>P7=KeyCustom1</formula>
    </cfRule>
    <cfRule type="expression" dxfId="344" priority="88" stopIfTrue="1">
      <formula>P7=KeySick</formula>
    </cfRule>
    <cfRule type="expression" dxfId="343" priority="90" stopIfTrue="1">
      <formula>P7=KeyVacation</formula>
    </cfRule>
  </conditionalFormatting>
  <conditionalFormatting sqref="R7:T7 Y7:AA7 D7:F17 N8:AE8">
    <cfRule type="expression" dxfId="342" priority="118" stopIfTrue="1">
      <formula>D7=KeySick</formula>
    </cfRule>
    <cfRule type="expression" dxfId="341" priority="117" stopIfTrue="1">
      <formula>D7=KeyCustom1</formula>
    </cfRule>
    <cfRule type="expression" dxfId="340" priority="116" stopIfTrue="1">
      <formula>D7=KeyCustom2</formula>
    </cfRule>
    <cfRule type="expression" priority="115" stopIfTrue="1">
      <formula>D7=""</formula>
    </cfRule>
    <cfRule type="expression" dxfId="339" priority="119" stopIfTrue="1">
      <formula>D7=KeyPersonal</formula>
    </cfRule>
    <cfRule type="expression" dxfId="338" priority="120" stopIfTrue="1">
      <formula>D7=KeyVacation</formula>
    </cfRule>
  </conditionalFormatting>
  <conditionalFormatting sqref="U7 U9:U17">
    <cfRule type="expression" priority="19" stopIfTrue="1">
      <formula>U7=""</formula>
    </cfRule>
    <cfRule type="expression" dxfId="337" priority="21" stopIfTrue="1">
      <formula>U7=KeyCustom1</formula>
    </cfRule>
    <cfRule type="expression" dxfId="336" priority="20" stopIfTrue="1">
      <formula>U7=KeyCustom2</formula>
    </cfRule>
    <cfRule type="expression" dxfId="335" priority="22" stopIfTrue="1">
      <formula>U7=KeySick</formula>
    </cfRule>
    <cfRule type="expression" dxfId="334" priority="23" stopIfTrue="1">
      <formula>U7=KeyPersonal</formula>
    </cfRule>
    <cfRule type="expression" dxfId="333" priority="24" stopIfTrue="1">
      <formula>U7=KeyVacation</formula>
    </cfRule>
  </conditionalFormatting>
  <conditionalFormatting sqref="V7">
    <cfRule type="expression" priority="61" stopIfTrue="1">
      <formula>V7=""</formula>
    </cfRule>
    <cfRule type="expression" dxfId="332" priority="66" stopIfTrue="1">
      <formula>V7=KeyVacation</formula>
    </cfRule>
    <cfRule type="expression" dxfId="331" priority="62" stopIfTrue="1">
      <formula>V7=KeyCustom2</formula>
    </cfRule>
    <cfRule type="expression" dxfId="330" priority="63" stopIfTrue="1">
      <formula>V7=KeyCustom1</formula>
    </cfRule>
    <cfRule type="expression" dxfId="329" priority="64" stopIfTrue="1">
      <formula>V7=KeySick</formula>
    </cfRule>
    <cfRule type="expression" dxfId="328" priority="65" stopIfTrue="1">
      <formula>V7=KeyPersonal</formula>
    </cfRule>
  </conditionalFormatting>
  <conditionalFormatting sqref="V9:AA17">
    <cfRule type="expression" dxfId="327" priority="60" stopIfTrue="1">
      <formula>V9=KeyVacation</formula>
    </cfRule>
    <cfRule type="expression" dxfId="326" priority="59" stopIfTrue="1">
      <formula>V9=KeyPersonal</formula>
    </cfRule>
    <cfRule type="expression" dxfId="325" priority="58" stopIfTrue="1">
      <formula>V9=KeySick</formula>
    </cfRule>
    <cfRule type="expression" dxfId="324" priority="57" stopIfTrue="1">
      <formula>V9=KeyCustom1</formula>
    </cfRule>
    <cfRule type="expression" dxfId="323" priority="56" stopIfTrue="1">
      <formula>V9=KeyCustom2</formula>
    </cfRule>
    <cfRule type="expression" priority="55" stopIfTrue="1">
      <formula>V9=""</formula>
    </cfRule>
  </conditionalFormatting>
  <conditionalFormatting sqref="W7:X7">
    <cfRule type="expression" dxfId="322" priority="70" stopIfTrue="1">
      <formula>W7=KeySick</formula>
    </cfRule>
    <cfRule type="expression" dxfId="321" priority="71" stopIfTrue="1">
      <formula>W7=KeyPersonal</formula>
    </cfRule>
    <cfRule type="expression" dxfId="320" priority="72" stopIfTrue="1">
      <formula>W7=KeyVacation</formula>
    </cfRule>
    <cfRule type="expression" priority="67" stopIfTrue="1">
      <formula>W7=""</formula>
    </cfRule>
    <cfRule type="expression" dxfId="319" priority="68" stopIfTrue="1">
      <formula>W7=KeyCustom2</formula>
    </cfRule>
    <cfRule type="expression" dxfId="318" priority="69" stopIfTrue="1">
      <formula>W7=KeyCustom1</formula>
    </cfRule>
  </conditionalFormatting>
  <conditionalFormatting sqref="AB7 AB9:AB17">
    <cfRule type="expression" priority="13" stopIfTrue="1">
      <formula>AB7=""</formula>
    </cfRule>
    <cfRule type="expression" dxfId="317" priority="18" stopIfTrue="1">
      <formula>AB7=KeyVacation</formula>
    </cfRule>
    <cfRule type="expression" dxfId="316" priority="17" stopIfTrue="1">
      <formula>AB7=KeyPersonal</formula>
    </cfRule>
    <cfRule type="expression" dxfId="315" priority="16" stopIfTrue="1">
      <formula>AB7=KeySick</formula>
    </cfRule>
    <cfRule type="expression" dxfId="314" priority="15" stopIfTrue="1">
      <formula>AB7=KeyCustom1</formula>
    </cfRule>
    <cfRule type="expression" dxfId="313" priority="14" stopIfTrue="1">
      <formula>AB7=KeyCustom2</formula>
    </cfRule>
  </conditionalFormatting>
  <conditionalFormatting sqref="AC7">
    <cfRule type="expression" dxfId="312" priority="47" stopIfTrue="1">
      <formula>AC7=KeyPersonal</formula>
    </cfRule>
    <cfRule type="expression" dxfId="311" priority="46" stopIfTrue="1">
      <formula>AC7=KeySick</formula>
    </cfRule>
    <cfRule type="expression" dxfId="310" priority="45" stopIfTrue="1">
      <formula>AC7=KeyCustom1</formula>
    </cfRule>
    <cfRule type="expression" priority="43" stopIfTrue="1">
      <formula>AC7=""</formula>
    </cfRule>
    <cfRule type="expression" dxfId="309" priority="48" stopIfTrue="1">
      <formula>AC7=KeyVacation</formula>
    </cfRule>
    <cfRule type="expression" dxfId="308" priority="44" stopIfTrue="1">
      <formula>AC7=KeyCustom2</formula>
    </cfRule>
  </conditionalFormatting>
  <conditionalFormatting sqref="AD7:AE7">
    <cfRule type="expression" dxfId="307" priority="52" stopIfTrue="1">
      <formula>AD7=KeySick</formula>
    </cfRule>
    <cfRule type="expression" dxfId="306" priority="51" stopIfTrue="1">
      <formula>AD7=KeyCustom1</formula>
    </cfRule>
    <cfRule type="expression" dxfId="305" priority="53" stopIfTrue="1">
      <formula>AD7=KeyPersonal</formula>
    </cfRule>
    <cfRule type="expression" dxfId="304" priority="54" stopIfTrue="1">
      <formula>AD7=KeyVacation</formula>
    </cfRule>
    <cfRule type="expression" priority="49" stopIfTrue="1">
      <formula>AD7=""</formula>
    </cfRule>
    <cfRule type="expression" dxfId="303" priority="50" stopIfTrue="1">
      <formula>AD7=KeyCustom2</formula>
    </cfRule>
  </conditionalFormatting>
  <conditionalFormatting sqref="AF7:AG17 AC9:AE17">
    <cfRule type="expression" dxfId="302" priority="42" stopIfTrue="1">
      <formula>AC7=KeyVacation</formula>
    </cfRule>
    <cfRule type="expression" dxfId="301" priority="41" stopIfTrue="1">
      <formula>AC7=KeyPersonal</formula>
    </cfRule>
    <cfRule type="expression" dxfId="300" priority="40" stopIfTrue="1">
      <formula>AC7=KeySick</formula>
    </cfRule>
    <cfRule type="expression" dxfId="299" priority="39" stopIfTrue="1">
      <formula>AC7=KeyCustom1</formula>
    </cfRule>
    <cfRule type="expression" dxfId="298" priority="38" stopIfTrue="1">
      <formula>AC7=KeyCustom2</formula>
    </cfRule>
    <cfRule type="expression" priority="37" stopIfTrue="1">
      <formula>AC7=""</formula>
    </cfRule>
  </conditionalFormatting>
  <conditionalFormatting sqref="AH7:AH17">
    <cfRule type="dataBar" priority="223">
      <dataBar>
        <cfvo type="num" val="0"/>
        <cfvo type="num" val="31"/>
        <color theme="2" tint="-0.249977111117893"/>
      </dataBar>
      <extLst>
        <ext xmlns:x14="http://schemas.microsoft.com/office/spreadsheetml/2009/9/main" uri="{B025F937-C7B1-47D3-B67F-A62EFF666E3E}">
          <x14:id>{0268E8BA-7A4F-4D8B-B36D-D6D7110D80C0}</x14:id>
        </ext>
      </extLst>
    </cfRule>
  </conditionalFormatting>
  <dataValidations count="14">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400-000000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400-000001000000}"/>
    <dataValidation allowBlank="1" showInputMessage="1" showErrorMessage="1" prompt="Deze rij definieert de sleutels die worden gebruikt in de tabel: cel C2 is Vakantie, G2 is Persoonlijk en K2 is Ziekteverlof. De cellen N2 en R2 kunnen worden aangepast" sqref="B2" xr:uid="{00000000-0002-0000-0400-000002000000}"/>
    <dataValidation allowBlank="1" showInputMessage="1" showErrorMessage="1" prompt="Voer links een label in om de aangepaste sleutel te beschrijven" sqref="O2:Q2 S2:U2" xr:uid="{00000000-0002-0000-0400-000003000000}"/>
    <dataValidation allowBlank="1" showInputMessage="1" showErrorMessage="1" prompt="Voer een letter in en pas rechts het label aan om een ander sleutelitem toe te voegen" sqref="N2 R2" xr:uid="{00000000-0002-0000-0400-000004000000}"/>
    <dataValidation allowBlank="1" showInputMessage="1" showErrorMessage="1" prompt="De letter &quot;Z&quot; geeft afwezigheid vanwege ziekte aan" sqref="K2" xr:uid="{00000000-0002-0000-0400-000005000000}"/>
    <dataValidation allowBlank="1" showInputMessage="1" showErrorMessage="1" prompt="De letter &quot;P&quot; geeft afwezigheid vanwege persoonlijke redenen aan" sqref="G2" xr:uid="{00000000-0002-0000-0400-000006000000}"/>
    <dataValidation allowBlank="1" showInputMessage="1" showErrorMessage="1" prompt="De letter &quot;V&quot; geeft afwezigheid vanwege vakantie aan" sqref="C2" xr:uid="{00000000-0002-0000-0400-000007000000}"/>
    <dataValidation allowBlank="1" showInputMessage="1" showErrorMessage="1" prompt="De titel wordt automatisch bijgewerkt in deze cel. Als u de titel wilt wijzigen, werk B1 in het januari-werkblad bij" sqref="B1" xr:uid="{00000000-0002-0000-04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400-000009000000}"/>
    <dataValidation allowBlank="1" showInputMessage="1" showErrorMessage="1" prompt="Houd de afwezigheid in mei in dit werkblad bij" sqref="A1" xr:uid="{00000000-0002-0000-0400-00000A000000}"/>
    <dataValidation allowBlank="1" showInputMessage="1" showErrorMessage="1" prompt="Berekent automatisch het totaal aantal dagen die een werknemer in deze maand niet aanwezig was in deze kolom" sqref="AH6" xr:uid="{00000000-0002-0000-0400-00000B000000}"/>
    <dataValidation allowBlank="1" showInputMessage="1" showErrorMessage="1" prompt="Automatisch bijgewerkt jaar op basis van het jaar dat in het werkblad januari is ingevoerd" sqref="AH4" xr:uid="{00000000-0002-0000-04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4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268E8BA-7A4F-4D8B-B36D-D6D7110D80C0}">
            <x14:dataBar minLength="0" maxLength="100">
              <x14:cfvo type="num">
                <xm:f>0</xm:f>
              </x14:cfvo>
              <x14:cfvo type="num">
                <xm:f>31</xm:f>
              </x14:cfvo>
              <x14:negativeFillColor rgb="FFFF0000"/>
              <x14:axisColor rgb="FF000000"/>
            </x14:dataBar>
          </x14:cfRule>
          <xm:sqref>AH7:AH17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theme="2"/>
    <pageSetUpPr fitToPage="1"/>
  </sheetPr>
  <dimension ref="B1:AH17"/>
  <sheetViews>
    <sheetView showGridLines="0" zoomScaleNormal="100" workbookViewId="0">
      <selection activeCell="AC13" sqref="AC13"/>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50</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TEXT(WEEKDAY(DATE(CalendarYear,6,1),1),"aaa")</f>
        <v>zo</v>
      </c>
      <c r="D5" s="1" t="str">
        <f>TEXT(WEEKDAY(DATE(CalendarYear,6,2),1),"aaa")</f>
        <v>ma</v>
      </c>
      <c r="E5" s="1" t="str">
        <f>TEXT(WEEKDAY(DATE(CalendarYear,6,3),1),"aaa")</f>
        <v>di</v>
      </c>
      <c r="F5" s="1" t="str">
        <f>TEXT(WEEKDAY(DATE(CalendarYear,6,4),1),"aaa")</f>
        <v>wo</v>
      </c>
      <c r="G5" s="1" t="str">
        <f>TEXT(WEEKDAY(DATE(CalendarYear,6,5),1),"aaa")</f>
        <v>do</v>
      </c>
      <c r="H5" s="1" t="str">
        <f>TEXT(WEEKDAY(DATE(CalendarYear,6,6),1),"aaa")</f>
        <v>vr</v>
      </c>
      <c r="I5" s="1" t="str">
        <f>TEXT(WEEKDAY(DATE(CalendarYear,6,7),1),"aaa")</f>
        <v>za</v>
      </c>
      <c r="J5" s="1" t="str">
        <f>TEXT(WEEKDAY(DATE(CalendarYear,6,8),1),"aaa")</f>
        <v>zo</v>
      </c>
      <c r="K5" s="1" t="str">
        <f>TEXT(WEEKDAY(DATE(CalendarYear,6,9),1),"aaa")</f>
        <v>ma</v>
      </c>
      <c r="L5" s="1" t="str">
        <f>TEXT(WEEKDAY(DATE(CalendarYear,6,10),1),"aaa")</f>
        <v>di</v>
      </c>
      <c r="M5" s="1" t="str">
        <f>TEXT(WEEKDAY(DATE(CalendarYear,6,11),1),"aaa")</f>
        <v>wo</v>
      </c>
      <c r="N5" s="1" t="str">
        <f>TEXT(WEEKDAY(DATE(CalendarYear,6,12),1),"aaa")</f>
        <v>do</v>
      </c>
      <c r="O5" s="1" t="str">
        <f>TEXT(WEEKDAY(DATE(CalendarYear,6,13),1),"aaa")</f>
        <v>vr</v>
      </c>
      <c r="P5" s="1" t="str">
        <f>TEXT(WEEKDAY(DATE(CalendarYear,6,14),1),"aaa")</f>
        <v>za</v>
      </c>
      <c r="Q5" s="1" t="str">
        <f>TEXT(WEEKDAY(DATE(CalendarYear,6,15),1),"aaa")</f>
        <v>zo</v>
      </c>
      <c r="R5" s="1" t="str">
        <f>TEXT(WEEKDAY(DATE(CalendarYear,6,16),1),"aaa")</f>
        <v>ma</v>
      </c>
      <c r="S5" s="1" t="str">
        <f>TEXT(WEEKDAY(DATE(CalendarYear,6,17),1),"aaa")</f>
        <v>di</v>
      </c>
      <c r="T5" s="1" t="str">
        <f>TEXT(WEEKDAY(DATE(CalendarYear,6,18),1),"aaa")</f>
        <v>wo</v>
      </c>
      <c r="U5" s="1" t="str">
        <f>TEXT(WEEKDAY(DATE(CalendarYear,6,19),1),"aaa")</f>
        <v>do</v>
      </c>
      <c r="V5" s="1" t="str">
        <f>TEXT(WEEKDAY(DATE(CalendarYear,6,20),1),"aaa")</f>
        <v>vr</v>
      </c>
      <c r="W5" s="1" t="str">
        <f>TEXT(WEEKDAY(DATE(CalendarYear,6,21),1),"aaa")</f>
        <v>za</v>
      </c>
      <c r="X5" s="1" t="str">
        <f>TEXT(WEEKDAY(DATE(CalendarYear,6,22),1),"aaa")</f>
        <v>zo</v>
      </c>
      <c r="Y5" s="1" t="str">
        <f>TEXT(WEEKDAY(DATE(CalendarYear,6,23),1),"aaa")</f>
        <v>ma</v>
      </c>
      <c r="Z5" s="1" t="str">
        <f>TEXT(WEEKDAY(DATE(CalendarYear,6,24),1),"aaa")</f>
        <v>di</v>
      </c>
      <c r="AA5" s="1" t="str">
        <f>TEXT(WEEKDAY(DATE(CalendarYear,6,25),1),"aaa")</f>
        <v>wo</v>
      </c>
      <c r="AB5" s="1" t="str">
        <f>TEXT(WEEKDAY(DATE(CalendarYear,6,26),1),"aaa")</f>
        <v>do</v>
      </c>
      <c r="AC5" s="1" t="str">
        <f>TEXT(WEEKDAY(DATE(CalendarYear,6,27),1),"aaa")</f>
        <v>vr</v>
      </c>
      <c r="AD5" s="1" t="str">
        <f>TEXT(WEEKDAY(DATE(CalendarYear,6,28),1),"aaa")</f>
        <v>za</v>
      </c>
      <c r="AE5" s="1" t="str">
        <f>TEXT(WEEKDAY(DATE(CalendarYear,6,29),1),"aaa")</f>
        <v>zo</v>
      </c>
      <c r="AF5" s="1" t="str">
        <f>TEXT(WEEKDAY(DATE(CalendarYear,6,30),1),"aaa")</f>
        <v>ma</v>
      </c>
      <c r="AG5" s="1"/>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46</v>
      </c>
      <c r="AH6" s="12" t="s">
        <v>68</v>
      </c>
    </row>
    <row r="7" spans="2:34" ht="30" customHeight="1" x14ac:dyDescent="0.25">
      <c r="B7" t="s">
        <v>65</v>
      </c>
      <c r="C7" s="1">
        <v>3.5</v>
      </c>
      <c r="D7" s="1" t="s">
        <v>4</v>
      </c>
      <c r="E7" s="1" t="s">
        <v>67</v>
      </c>
      <c r="F7" s="1" t="s">
        <v>67</v>
      </c>
      <c r="G7" s="1" t="s">
        <v>67</v>
      </c>
      <c r="H7" s="1">
        <v>3.5</v>
      </c>
      <c r="I7" s="1">
        <v>3.5</v>
      </c>
      <c r="J7" s="1">
        <v>3.5</v>
      </c>
      <c r="K7" s="1">
        <v>3.5</v>
      </c>
      <c r="L7" s="1" t="s">
        <v>67</v>
      </c>
      <c r="M7" s="1" t="s">
        <v>67</v>
      </c>
      <c r="N7" s="1" t="s">
        <v>67</v>
      </c>
      <c r="O7" s="1">
        <v>3</v>
      </c>
      <c r="P7" s="1">
        <v>3.5</v>
      </c>
      <c r="Q7" s="1">
        <v>3.5</v>
      </c>
      <c r="R7" s="1" t="s">
        <v>4</v>
      </c>
      <c r="S7" s="1" t="s">
        <v>67</v>
      </c>
      <c r="T7" s="1" t="s">
        <v>67</v>
      </c>
      <c r="U7" s="1" t="s">
        <v>67</v>
      </c>
      <c r="V7" s="1">
        <v>3.5</v>
      </c>
      <c r="W7" s="1">
        <v>3.5</v>
      </c>
      <c r="X7" s="1" t="s">
        <v>4</v>
      </c>
      <c r="Y7" s="1" t="s">
        <v>4</v>
      </c>
      <c r="Z7" s="1" t="s">
        <v>4</v>
      </c>
      <c r="AA7" s="1" t="s">
        <v>4</v>
      </c>
      <c r="AB7" s="1" t="s">
        <v>4</v>
      </c>
      <c r="AC7" s="1" t="s">
        <v>4</v>
      </c>
      <c r="AD7" s="1" t="s">
        <v>4</v>
      </c>
      <c r="AE7" s="1" t="s">
        <v>4</v>
      </c>
      <c r="AF7" s="1" t="s">
        <v>4</v>
      </c>
      <c r="AG7" s="1"/>
      <c r="AH7" s="7">
        <f>SUM(Juni[[#This Row],[1]:[30]])</f>
        <v>34.5</v>
      </c>
    </row>
    <row r="8" spans="2:34" ht="30" customHeight="1" x14ac:dyDescent="0.25">
      <c r="B8" s="19" t="s">
        <v>77</v>
      </c>
      <c r="C8" s="1">
        <v>3.5</v>
      </c>
      <c r="D8" s="1" t="s">
        <v>4</v>
      </c>
      <c r="E8" s="1" t="s">
        <v>67</v>
      </c>
      <c r="F8" s="1" t="s">
        <v>67</v>
      </c>
      <c r="G8" s="1" t="s">
        <v>67</v>
      </c>
      <c r="H8" s="1" t="s">
        <v>67</v>
      </c>
      <c r="I8" s="1">
        <v>3.5</v>
      </c>
      <c r="J8" s="1">
        <v>3.5</v>
      </c>
      <c r="K8" s="1">
        <v>3.5</v>
      </c>
      <c r="L8" s="1" t="s">
        <v>67</v>
      </c>
      <c r="M8" s="1" t="s">
        <v>67</v>
      </c>
      <c r="N8" s="1" t="s">
        <v>67</v>
      </c>
      <c r="O8" s="1" t="s">
        <v>67</v>
      </c>
      <c r="P8" s="1">
        <v>3.5</v>
      </c>
      <c r="Q8" s="1">
        <v>3.5</v>
      </c>
      <c r="R8" s="1" t="s">
        <v>4</v>
      </c>
      <c r="S8" s="1" t="s">
        <v>67</v>
      </c>
      <c r="T8" s="1" t="s">
        <v>67</v>
      </c>
      <c r="U8" s="1" t="s">
        <v>67</v>
      </c>
      <c r="V8" s="1" t="s">
        <v>67</v>
      </c>
      <c r="W8" s="1">
        <v>3</v>
      </c>
      <c r="X8" s="1">
        <v>4</v>
      </c>
      <c r="Y8" s="1" t="s">
        <v>4</v>
      </c>
      <c r="Z8" s="1" t="s">
        <v>67</v>
      </c>
      <c r="AA8" s="1" t="s">
        <v>67</v>
      </c>
      <c r="AB8" s="1" t="s">
        <v>67</v>
      </c>
      <c r="AC8" s="1">
        <v>3.5</v>
      </c>
      <c r="AD8" s="1">
        <v>3.5</v>
      </c>
      <c r="AE8" s="1">
        <v>3.5</v>
      </c>
      <c r="AF8" s="1" t="s">
        <v>4</v>
      </c>
      <c r="AG8" s="1"/>
      <c r="AH8" s="7">
        <f>SUM(Juni[[#This Row],[1]:[30]])</f>
        <v>38.5</v>
      </c>
    </row>
    <row r="9" spans="2:34" ht="30" customHeight="1" x14ac:dyDescent="0.25">
      <c r="B9" s="20" t="s">
        <v>76</v>
      </c>
      <c r="C9" s="1">
        <v>5</v>
      </c>
      <c r="D9" s="1" t="s">
        <v>4</v>
      </c>
      <c r="E9" s="1" t="s">
        <v>67</v>
      </c>
      <c r="F9" s="1" t="s">
        <v>67</v>
      </c>
      <c r="G9" s="1" t="s">
        <v>67</v>
      </c>
      <c r="H9" s="1">
        <v>5</v>
      </c>
      <c r="I9" s="1">
        <v>5</v>
      </c>
      <c r="J9" s="1">
        <v>5</v>
      </c>
      <c r="K9" s="1">
        <v>5</v>
      </c>
      <c r="L9" s="1" t="s">
        <v>67</v>
      </c>
      <c r="M9" s="1" t="s">
        <v>67</v>
      </c>
      <c r="N9" s="1" t="s">
        <v>67</v>
      </c>
      <c r="O9" s="1">
        <v>5</v>
      </c>
      <c r="P9" s="1">
        <v>5</v>
      </c>
      <c r="Q9" s="1">
        <v>5</v>
      </c>
      <c r="R9" s="1" t="s">
        <v>4</v>
      </c>
      <c r="S9" s="1" t="s">
        <v>67</v>
      </c>
      <c r="T9" s="1" t="s">
        <v>67</v>
      </c>
      <c r="U9" s="1" t="s">
        <v>67</v>
      </c>
      <c r="V9" s="1">
        <v>5</v>
      </c>
      <c r="W9" s="1">
        <v>5</v>
      </c>
      <c r="X9" s="1">
        <v>5</v>
      </c>
      <c r="Y9" s="1" t="s">
        <v>4</v>
      </c>
      <c r="Z9" s="1" t="s">
        <v>67</v>
      </c>
      <c r="AA9" s="1" t="s">
        <v>67</v>
      </c>
      <c r="AB9" s="1" t="s">
        <v>67</v>
      </c>
      <c r="AC9" s="1">
        <v>5</v>
      </c>
      <c r="AD9" s="1">
        <v>5</v>
      </c>
      <c r="AE9" s="1">
        <v>5</v>
      </c>
      <c r="AF9" s="1" t="s">
        <v>4</v>
      </c>
      <c r="AG9" s="1"/>
      <c r="AH9" s="7">
        <f>SUM(Juni[[#This Row],[1]:[30]])</f>
        <v>70</v>
      </c>
    </row>
    <row r="10" spans="2:34" ht="30" customHeight="1" x14ac:dyDescent="0.25">
      <c r="B10" t="s">
        <v>64</v>
      </c>
      <c r="C10" s="1">
        <v>4</v>
      </c>
      <c r="D10" s="1" t="s">
        <v>4</v>
      </c>
      <c r="E10" s="1" t="s">
        <v>67</v>
      </c>
      <c r="F10" s="1">
        <v>4</v>
      </c>
      <c r="G10" s="1">
        <v>4</v>
      </c>
      <c r="H10" s="1">
        <v>4</v>
      </c>
      <c r="I10" s="1">
        <v>4</v>
      </c>
      <c r="J10" s="1">
        <v>4</v>
      </c>
      <c r="K10" s="1" t="s">
        <v>4</v>
      </c>
      <c r="L10" s="1" t="s">
        <v>67</v>
      </c>
      <c r="M10" s="1" t="s">
        <v>67</v>
      </c>
      <c r="N10" s="1" t="s">
        <v>67</v>
      </c>
      <c r="O10" s="1" t="s">
        <v>67</v>
      </c>
      <c r="P10" s="1">
        <v>4</v>
      </c>
      <c r="Q10" s="1">
        <v>4</v>
      </c>
      <c r="R10" s="1" t="s">
        <v>4</v>
      </c>
      <c r="S10" s="1" t="s">
        <v>67</v>
      </c>
      <c r="T10" s="1">
        <v>4</v>
      </c>
      <c r="U10" s="1">
        <v>4</v>
      </c>
      <c r="V10" s="1">
        <v>4</v>
      </c>
      <c r="W10" s="1">
        <v>4</v>
      </c>
      <c r="X10" s="1">
        <v>4</v>
      </c>
      <c r="Y10" s="1" t="s">
        <v>4</v>
      </c>
      <c r="Z10" s="1" t="s">
        <v>67</v>
      </c>
      <c r="AA10" s="1" t="s">
        <v>67</v>
      </c>
      <c r="AB10" s="1" t="s">
        <v>67</v>
      </c>
      <c r="AC10" s="1" t="s">
        <v>67</v>
      </c>
      <c r="AD10" s="1">
        <v>4</v>
      </c>
      <c r="AE10" s="1">
        <v>4</v>
      </c>
      <c r="AF10" s="1" t="s">
        <v>4</v>
      </c>
      <c r="AG10" s="1"/>
      <c r="AH10" s="7">
        <f>SUM(Juni[[#This Row],[1]:[30]])</f>
        <v>60</v>
      </c>
    </row>
    <row r="11" spans="2:34" ht="30" customHeight="1" x14ac:dyDescent="0.25">
      <c r="B11" t="s">
        <v>71</v>
      </c>
      <c r="C11" s="1">
        <v>5</v>
      </c>
      <c r="D11" s="1" t="s">
        <v>4</v>
      </c>
      <c r="E11" s="1" t="s">
        <v>67</v>
      </c>
      <c r="F11" s="1" t="s">
        <v>67</v>
      </c>
      <c r="G11" s="1" t="s">
        <v>67</v>
      </c>
      <c r="H11" s="1">
        <v>5</v>
      </c>
      <c r="I11" s="1">
        <v>5</v>
      </c>
      <c r="J11" s="1">
        <v>5</v>
      </c>
      <c r="K11" s="1">
        <v>5</v>
      </c>
      <c r="L11" s="1" t="s">
        <v>67</v>
      </c>
      <c r="M11" s="1" t="s">
        <v>67</v>
      </c>
      <c r="N11" s="1" t="s">
        <v>67</v>
      </c>
      <c r="O11" s="1">
        <v>5</v>
      </c>
      <c r="P11" s="1">
        <v>5</v>
      </c>
      <c r="Q11" s="1">
        <v>5</v>
      </c>
      <c r="R11" s="1" t="s">
        <v>4</v>
      </c>
      <c r="S11" s="1" t="s">
        <v>67</v>
      </c>
      <c r="T11" s="1" t="s">
        <v>67</v>
      </c>
      <c r="U11" s="1" t="s">
        <v>67</v>
      </c>
      <c r="V11" s="1">
        <v>5</v>
      </c>
      <c r="W11" s="1">
        <v>5</v>
      </c>
      <c r="X11" s="1">
        <v>5</v>
      </c>
      <c r="Y11" s="1" t="s">
        <v>4</v>
      </c>
      <c r="Z11" s="1" t="s">
        <v>67</v>
      </c>
      <c r="AA11" s="1" t="s">
        <v>67</v>
      </c>
      <c r="AB11" s="1" t="s">
        <v>67</v>
      </c>
      <c r="AC11" s="1">
        <v>5</v>
      </c>
      <c r="AD11" s="1">
        <v>5</v>
      </c>
      <c r="AE11" s="1">
        <v>5</v>
      </c>
      <c r="AF11" s="1" t="s">
        <v>4</v>
      </c>
      <c r="AG11" s="1"/>
      <c r="AH11" s="7">
        <f>SUM(Juni[[#This Row],[1]:[30]])</f>
        <v>70</v>
      </c>
    </row>
    <row r="12" spans="2:34" ht="30" customHeight="1" x14ac:dyDescent="0.25">
      <c r="B12" t="s">
        <v>70</v>
      </c>
      <c r="C12" s="1">
        <v>4</v>
      </c>
      <c r="D12" s="1" t="s">
        <v>4</v>
      </c>
      <c r="E12" s="1" t="s">
        <v>67</v>
      </c>
      <c r="F12" s="1" t="s">
        <v>67</v>
      </c>
      <c r="G12" s="1">
        <v>4</v>
      </c>
      <c r="H12" s="1">
        <v>4</v>
      </c>
      <c r="I12" s="1">
        <v>4</v>
      </c>
      <c r="J12" s="1">
        <v>4</v>
      </c>
      <c r="K12" s="1">
        <v>4</v>
      </c>
      <c r="L12" s="1" t="s">
        <v>67</v>
      </c>
      <c r="M12" s="1" t="s">
        <v>67</v>
      </c>
      <c r="N12" s="1">
        <v>4</v>
      </c>
      <c r="O12" s="1">
        <v>4</v>
      </c>
      <c r="P12" s="1">
        <v>4</v>
      </c>
      <c r="Q12" s="1">
        <v>4</v>
      </c>
      <c r="R12" s="1" t="s">
        <v>4</v>
      </c>
      <c r="S12" s="1" t="s">
        <v>67</v>
      </c>
      <c r="T12" s="1" t="s">
        <v>67</v>
      </c>
      <c r="U12" s="1">
        <v>4</v>
      </c>
      <c r="V12" s="1">
        <v>4</v>
      </c>
      <c r="W12" s="1">
        <v>4</v>
      </c>
      <c r="X12" s="1">
        <v>4</v>
      </c>
      <c r="Y12" s="1" t="s">
        <v>4</v>
      </c>
      <c r="Z12" s="1" t="s">
        <v>67</v>
      </c>
      <c r="AA12" s="1" t="s">
        <v>67</v>
      </c>
      <c r="AB12" s="1">
        <v>4</v>
      </c>
      <c r="AC12" s="1">
        <v>4</v>
      </c>
      <c r="AD12" s="1">
        <v>4</v>
      </c>
      <c r="AE12" s="1">
        <v>4</v>
      </c>
      <c r="AF12" s="1" t="s">
        <v>4</v>
      </c>
      <c r="AG12" s="1"/>
      <c r="AH12" s="7">
        <f>SUM(Juni[[#This Row],[1]:[30]])</f>
        <v>72</v>
      </c>
    </row>
    <row r="13" spans="2:34" ht="30" customHeight="1" x14ac:dyDescent="0.25">
      <c r="B13" t="s">
        <v>63</v>
      </c>
      <c r="C13" s="1">
        <v>3.5</v>
      </c>
      <c r="D13" s="1" t="s">
        <v>4</v>
      </c>
      <c r="E13" s="1">
        <v>3.5</v>
      </c>
      <c r="F13" s="1" t="s">
        <v>67</v>
      </c>
      <c r="G13" s="1" t="s">
        <v>67</v>
      </c>
      <c r="H13" s="1">
        <v>4</v>
      </c>
      <c r="I13" s="1">
        <v>3.5</v>
      </c>
      <c r="J13" s="1">
        <v>3.5</v>
      </c>
      <c r="K13" s="1">
        <v>3.5</v>
      </c>
      <c r="L13" s="1" t="s">
        <v>67</v>
      </c>
      <c r="M13" s="1" t="s">
        <v>67</v>
      </c>
      <c r="N13" s="1" t="s">
        <v>67</v>
      </c>
      <c r="O13" s="1">
        <v>3.5</v>
      </c>
      <c r="P13" s="1" t="s">
        <v>4</v>
      </c>
      <c r="Q13" s="1">
        <v>3.5</v>
      </c>
      <c r="R13" s="1" t="s">
        <v>4</v>
      </c>
      <c r="S13" s="1">
        <v>3.5</v>
      </c>
      <c r="T13" s="1">
        <v>3.5</v>
      </c>
      <c r="U13" s="1" t="s">
        <v>67</v>
      </c>
      <c r="V13" s="1">
        <v>4</v>
      </c>
      <c r="W13" s="1">
        <v>3.5</v>
      </c>
      <c r="X13" s="1">
        <v>3.5</v>
      </c>
      <c r="Y13" s="1" t="s">
        <v>4</v>
      </c>
      <c r="Z13" s="1" t="s">
        <v>67</v>
      </c>
      <c r="AA13" s="1">
        <v>3.5</v>
      </c>
      <c r="AB13" s="1" t="s">
        <v>67</v>
      </c>
      <c r="AC13" s="1">
        <v>3.5</v>
      </c>
      <c r="AD13" s="1">
        <v>3.5</v>
      </c>
      <c r="AE13" s="1">
        <v>3.5</v>
      </c>
      <c r="AF13" s="1" t="s">
        <v>4</v>
      </c>
      <c r="AG13" s="1"/>
      <c r="AH13" s="7">
        <f>SUM(Juni[[#This Row],[1]:[30]])</f>
        <v>60.5</v>
      </c>
    </row>
    <row r="14" spans="2:34" ht="30" customHeight="1" x14ac:dyDescent="0.25">
      <c r="B14" t="s">
        <v>78</v>
      </c>
      <c r="C14" s="1">
        <v>4</v>
      </c>
      <c r="D14" s="1" t="s">
        <v>4</v>
      </c>
      <c r="E14" s="1" t="s">
        <v>67</v>
      </c>
      <c r="F14" s="1" t="s">
        <v>67</v>
      </c>
      <c r="G14" s="1" t="s">
        <v>67</v>
      </c>
      <c r="H14" s="1">
        <v>4</v>
      </c>
      <c r="I14" s="1">
        <v>4</v>
      </c>
      <c r="J14" s="1">
        <v>4</v>
      </c>
      <c r="K14" s="1">
        <v>4</v>
      </c>
      <c r="L14" s="1" t="s">
        <v>67</v>
      </c>
      <c r="M14" s="1" t="s">
        <v>67</v>
      </c>
      <c r="N14" s="1" t="s">
        <v>67</v>
      </c>
      <c r="O14" s="1">
        <v>4</v>
      </c>
      <c r="P14" s="1" t="s">
        <v>67</v>
      </c>
      <c r="Q14" s="1" t="s">
        <v>67</v>
      </c>
      <c r="R14" s="1" t="s">
        <v>4</v>
      </c>
      <c r="S14" s="1" t="s">
        <v>67</v>
      </c>
      <c r="T14" s="1" t="s">
        <v>67</v>
      </c>
      <c r="U14" s="1" t="s">
        <v>67</v>
      </c>
      <c r="V14" s="1" t="s">
        <v>67</v>
      </c>
      <c r="W14" s="1">
        <v>4</v>
      </c>
      <c r="X14" s="1">
        <v>4</v>
      </c>
      <c r="Y14" s="1" t="s">
        <v>4</v>
      </c>
      <c r="Z14" s="1" t="s">
        <v>67</v>
      </c>
      <c r="AA14" s="1" t="s">
        <v>67</v>
      </c>
      <c r="AB14" s="1" t="s">
        <v>67</v>
      </c>
      <c r="AC14" s="1" t="s">
        <v>67</v>
      </c>
      <c r="AD14" s="1" t="s">
        <v>67</v>
      </c>
      <c r="AE14" s="1">
        <v>4</v>
      </c>
      <c r="AF14" s="1" t="s">
        <v>4</v>
      </c>
      <c r="AG14" s="1"/>
      <c r="AH14" s="7">
        <f>SUM(Juni[[#This Row],[1]:[30]])</f>
        <v>36</v>
      </c>
    </row>
    <row r="15" spans="2:34" ht="30" customHeight="1" x14ac:dyDescent="0.25">
      <c r="B15" t="s">
        <v>62</v>
      </c>
      <c r="C15" s="1">
        <v>3.5</v>
      </c>
      <c r="D15" s="1" t="s">
        <v>4</v>
      </c>
      <c r="E15" s="1" t="s">
        <v>67</v>
      </c>
      <c r="F15" s="1" t="s">
        <v>67</v>
      </c>
      <c r="G15" s="1" t="s">
        <v>67</v>
      </c>
      <c r="H15" s="1" t="s">
        <v>67</v>
      </c>
      <c r="I15" s="1">
        <v>3.5</v>
      </c>
      <c r="J15" s="1">
        <v>3.5</v>
      </c>
      <c r="K15" s="1" t="s">
        <v>4</v>
      </c>
      <c r="L15" s="1" t="s">
        <v>67</v>
      </c>
      <c r="M15" s="1" t="s">
        <v>67</v>
      </c>
      <c r="N15" s="1" t="s">
        <v>67</v>
      </c>
      <c r="O15" s="1" t="s">
        <v>67</v>
      </c>
      <c r="P15" s="1" t="s">
        <v>67</v>
      </c>
      <c r="Q15" s="1" t="s">
        <v>67</v>
      </c>
      <c r="R15" s="1" t="s">
        <v>4</v>
      </c>
      <c r="S15" s="1" t="s">
        <v>67</v>
      </c>
      <c r="T15" s="1" t="s">
        <v>67</v>
      </c>
      <c r="U15" s="1" t="s">
        <v>67</v>
      </c>
      <c r="V15" s="1" t="s">
        <v>67</v>
      </c>
      <c r="W15" s="1" t="s">
        <v>67</v>
      </c>
      <c r="X15" s="1" t="s">
        <v>67</v>
      </c>
      <c r="Y15" s="1" t="s">
        <v>4</v>
      </c>
      <c r="Z15" s="1" t="s">
        <v>67</v>
      </c>
      <c r="AA15" s="1" t="s">
        <v>67</v>
      </c>
      <c r="AB15" s="1" t="s">
        <v>67</v>
      </c>
      <c r="AC15" s="1" t="s">
        <v>67</v>
      </c>
      <c r="AD15" s="1" t="s">
        <v>67</v>
      </c>
      <c r="AE15" s="1" t="s">
        <v>67</v>
      </c>
      <c r="AF15" s="1" t="s">
        <v>4</v>
      </c>
      <c r="AG15" s="1"/>
      <c r="AH15" s="7">
        <f>SUM(Juni[[#This Row],[1]:[30]])</f>
        <v>10.5</v>
      </c>
    </row>
    <row r="16" spans="2:34" ht="30" customHeight="1" x14ac:dyDescent="0.25">
      <c r="B16" s="19" t="s">
        <v>75</v>
      </c>
      <c r="C16" s="1">
        <v>5</v>
      </c>
      <c r="D16" s="1" t="s">
        <v>4</v>
      </c>
      <c r="E16" s="1" t="s">
        <v>67</v>
      </c>
      <c r="F16" s="1" t="s">
        <v>67</v>
      </c>
      <c r="G16" s="1" t="s">
        <v>67</v>
      </c>
      <c r="H16" s="1">
        <v>5</v>
      </c>
      <c r="I16" s="1">
        <v>5</v>
      </c>
      <c r="J16" s="1">
        <v>5</v>
      </c>
      <c r="K16" s="1">
        <v>5</v>
      </c>
      <c r="L16" s="1" t="s">
        <v>67</v>
      </c>
      <c r="M16" s="1" t="s">
        <v>67</v>
      </c>
      <c r="N16" s="1" t="s">
        <v>67</v>
      </c>
      <c r="O16" s="1">
        <v>5</v>
      </c>
      <c r="P16" s="1">
        <v>5</v>
      </c>
      <c r="Q16" s="1">
        <v>5</v>
      </c>
      <c r="R16" s="1" t="s">
        <v>4</v>
      </c>
      <c r="S16" s="1" t="s">
        <v>67</v>
      </c>
      <c r="T16" s="1" t="s">
        <v>67</v>
      </c>
      <c r="U16" s="1" t="s">
        <v>67</v>
      </c>
      <c r="V16" s="1">
        <v>5</v>
      </c>
      <c r="W16" s="1">
        <v>5</v>
      </c>
      <c r="X16" s="1">
        <v>5</v>
      </c>
      <c r="Y16" s="1" t="s">
        <v>4</v>
      </c>
      <c r="Z16" s="1" t="s">
        <v>67</v>
      </c>
      <c r="AA16" s="1" t="s">
        <v>67</v>
      </c>
      <c r="AB16" s="1" t="s">
        <v>67</v>
      </c>
      <c r="AC16" s="1">
        <v>5</v>
      </c>
      <c r="AD16" s="1">
        <v>5</v>
      </c>
      <c r="AE16" s="1">
        <v>5</v>
      </c>
      <c r="AF16" s="1" t="s">
        <v>4</v>
      </c>
      <c r="AG16" s="1"/>
      <c r="AH16" s="7">
        <f>SUM(Juni[[#This Row],[1]:[30]])</f>
        <v>70</v>
      </c>
    </row>
    <row r="17" spans="2:34" ht="30" customHeight="1" x14ac:dyDescent="0.25">
      <c r="B17" s="16" t="str">
        <f>MonthName&amp;" Totaal"</f>
        <v>Juni Totaal</v>
      </c>
      <c r="C17" s="9">
        <f>SUM(Juni[1])</f>
        <v>41</v>
      </c>
      <c r="D17" s="9">
        <f>SUM(Juni[2])</f>
        <v>0</v>
      </c>
      <c r="E17" s="9">
        <f>SUM(Juni[3])</f>
        <v>3.5</v>
      </c>
      <c r="F17" s="9">
        <f>SUM(Juni[4])</f>
        <v>4</v>
      </c>
      <c r="G17" s="9">
        <f>SUM(Juni[5])</f>
        <v>8</v>
      </c>
      <c r="H17" s="9">
        <f>SUM(Juni[6])</f>
        <v>34.5</v>
      </c>
      <c r="I17" s="9">
        <f>SUM(Juni[7])</f>
        <v>41</v>
      </c>
      <c r="J17" s="9">
        <f>SUM(Juni[8])</f>
        <v>41</v>
      </c>
      <c r="K17" s="9">
        <f>SUM(Juni[9])</f>
        <v>33.5</v>
      </c>
      <c r="L17" s="9">
        <f>SUM(Juni[10])</f>
        <v>0</v>
      </c>
      <c r="M17" s="9">
        <f>SUM(Juni[11])</f>
        <v>0</v>
      </c>
      <c r="N17" s="9">
        <f>SUM(Juni[12])</f>
        <v>4</v>
      </c>
      <c r="O17" s="9">
        <f>SUM(Juni[13])</f>
        <v>29.5</v>
      </c>
      <c r="P17" s="9">
        <f>SUM(Juni[14])</f>
        <v>30</v>
      </c>
      <c r="Q17" s="9">
        <f>SUM(Juni[15])</f>
        <v>33.5</v>
      </c>
      <c r="R17" s="9">
        <f>SUM(Juni[16])</f>
        <v>0</v>
      </c>
      <c r="S17" s="9">
        <f>SUM(Juni[17])</f>
        <v>3.5</v>
      </c>
      <c r="T17" s="9">
        <f>SUM(Juni[18])</f>
        <v>7.5</v>
      </c>
      <c r="U17" s="9">
        <f>SUM(Juni[19])</f>
        <v>8</v>
      </c>
      <c r="V17" s="9">
        <f>SUM(Juni[20])</f>
        <v>30.5</v>
      </c>
      <c r="W17" s="9">
        <f>SUM(Juni[21])</f>
        <v>37</v>
      </c>
      <c r="X17" s="9">
        <f>SUM(Juni[22])</f>
        <v>34.5</v>
      </c>
      <c r="Y17" s="9">
        <f>SUM(Juni[23])</f>
        <v>0</v>
      </c>
      <c r="Z17" s="9">
        <f>SUM(Juni[24])</f>
        <v>0</v>
      </c>
      <c r="AA17" s="9">
        <f>SUM(Juni[25])</f>
        <v>3.5</v>
      </c>
      <c r="AB17" s="9">
        <f>SUM(Juni[26])</f>
        <v>4</v>
      </c>
      <c r="AC17" s="9">
        <f>SUM(Juni[27])</f>
        <v>26</v>
      </c>
      <c r="AD17" s="9">
        <f>SUM(Juni[28])</f>
        <v>30</v>
      </c>
      <c r="AE17" s="9">
        <f>SUM(Juni[29])</f>
        <v>34</v>
      </c>
      <c r="AF17" s="9">
        <f>SUM(Juni[30])</f>
        <v>0</v>
      </c>
      <c r="AG17" s="9">
        <f>SUM(Juni[[ ]])</f>
        <v>0</v>
      </c>
      <c r="AH17" s="9">
        <f>SUBTOTAL(109,Juni[Totaal aantal uren])</f>
        <v>522</v>
      </c>
    </row>
  </sheetData>
  <mergeCells count="6">
    <mergeCell ref="C4:AG4"/>
    <mergeCell ref="D2:F2"/>
    <mergeCell ref="H2:J2"/>
    <mergeCell ref="L2:M2"/>
    <mergeCell ref="O2:Q2"/>
    <mergeCell ref="S2:U2"/>
  </mergeCells>
  <conditionalFormatting sqref="D7:D16">
    <cfRule type="expression" dxfId="297" priority="29" stopIfTrue="1">
      <formula>D7=KeyPersonal</formula>
    </cfRule>
    <cfRule type="expression" priority="25" stopIfTrue="1">
      <formula>D7=""</formula>
    </cfRule>
    <cfRule type="expression" dxfId="296" priority="26" stopIfTrue="1">
      <formula>D7=KeyCustom2</formula>
    </cfRule>
    <cfRule type="expression" dxfId="295" priority="27" stopIfTrue="1">
      <formula>D7=KeyCustom1</formula>
    </cfRule>
    <cfRule type="expression" dxfId="294" priority="28" stopIfTrue="1">
      <formula>D7=KeySick</formula>
    </cfRule>
    <cfRule type="expression" dxfId="293" priority="30" stopIfTrue="1">
      <formula>D7=KeyVacation</formula>
    </cfRule>
  </conditionalFormatting>
  <conditionalFormatting sqref="E7">
    <cfRule type="expression" dxfId="292" priority="93" stopIfTrue="1">
      <formula>E7=KeyCustom1</formula>
    </cfRule>
    <cfRule type="expression" dxfId="291" priority="92" stopIfTrue="1">
      <formula>E7=KeyCustom2</formula>
    </cfRule>
    <cfRule type="expression" priority="91" stopIfTrue="1">
      <formula>E7=""</formula>
    </cfRule>
    <cfRule type="expression" dxfId="290" priority="96" stopIfTrue="1">
      <formula>E7=KeyVacation</formula>
    </cfRule>
    <cfRule type="expression" dxfId="289" priority="95" stopIfTrue="1">
      <formula>E7=KeyPersonal</formula>
    </cfRule>
    <cfRule type="expression" dxfId="288" priority="94" stopIfTrue="1">
      <formula>E7=KeySick</formula>
    </cfRule>
  </conditionalFormatting>
  <conditionalFormatting sqref="F7:G7">
    <cfRule type="expression" dxfId="287" priority="102" stopIfTrue="1">
      <formula>F7=KeyVacation</formula>
    </cfRule>
    <cfRule type="expression" dxfId="286" priority="101" stopIfTrue="1">
      <formula>F7=KeyPersonal</formula>
    </cfRule>
    <cfRule type="expression" dxfId="285" priority="100" stopIfTrue="1">
      <formula>F7=KeySick</formula>
    </cfRule>
    <cfRule type="expression" dxfId="284" priority="99" stopIfTrue="1">
      <formula>F7=KeyCustom1</formula>
    </cfRule>
    <cfRule type="expression" dxfId="283" priority="98" stopIfTrue="1">
      <formula>F7=KeyCustom2</formula>
    </cfRule>
    <cfRule type="expression" priority="97" stopIfTrue="1">
      <formula>F7=""</formula>
    </cfRule>
  </conditionalFormatting>
  <conditionalFormatting sqref="H7:J7 E8:J16">
    <cfRule type="expression" dxfId="282" priority="90" stopIfTrue="1">
      <formula>E7=KeyVacation</formula>
    </cfRule>
    <cfRule type="expression" dxfId="281" priority="89" stopIfTrue="1">
      <formula>E7=KeyPersonal</formula>
    </cfRule>
    <cfRule type="expression" dxfId="280" priority="88" stopIfTrue="1">
      <formula>E7=KeySick</formula>
    </cfRule>
    <cfRule type="expression" dxfId="279" priority="87" stopIfTrue="1">
      <formula>E7=KeyCustom1</formula>
    </cfRule>
    <cfRule type="expression" dxfId="278" priority="86" stopIfTrue="1">
      <formula>E7=KeyCustom2</formula>
    </cfRule>
    <cfRule type="expression" priority="85" stopIfTrue="1">
      <formula>E7=""</formula>
    </cfRule>
  </conditionalFormatting>
  <conditionalFormatting sqref="K7:K16">
    <cfRule type="expression" dxfId="277" priority="22" stopIfTrue="1">
      <formula>K7=KeySick</formula>
    </cfRule>
    <cfRule type="expression" dxfId="276" priority="23" stopIfTrue="1">
      <formula>K7=KeyPersonal</formula>
    </cfRule>
    <cfRule type="expression" dxfId="275" priority="24" stopIfTrue="1">
      <formula>K7=KeyVacation</formula>
    </cfRule>
    <cfRule type="expression" dxfId="274" priority="21" stopIfTrue="1">
      <formula>K7=KeyCustom1</formula>
    </cfRule>
    <cfRule type="expression" priority="19" stopIfTrue="1">
      <formula>K7=""</formula>
    </cfRule>
    <cfRule type="expression" dxfId="273" priority="20" stopIfTrue="1">
      <formula>K7=KeyCustom2</formula>
    </cfRule>
  </conditionalFormatting>
  <conditionalFormatting sqref="L7">
    <cfRule type="expression" dxfId="272" priority="77" stopIfTrue="1">
      <formula>L7=KeyPersonal</formula>
    </cfRule>
    <cfRule type="expression" dxfId="271" priority="78" stopIfTrue="1">
      <formula>L7=KeyVacation</formula>
    </cfRule>
    <cfRule type="expression" dxfId="270" priority="75" stopIfTrue="1">
      <formula>L7=KeyCustom1</formula>
    </cfRule>
    <cfRule type="expression" dxfId="269" priority="74" stopIfTrue="1">
      <formula>L7=KeyCustom2</formula>
    </cfRule>
    <cfRule type="expression" priority="73" stopIfTrue="1">
      <formula>L7=""</formula>
    </cfRule>
    <cfRule type="expression" dxfId="268" priority="76" stopIfTrue="1">
      <formula>L7=KeySick</formula>
    </cfRule>
  </conditionalFormatting>
  <conditionalFormatting sqref="M7:N7">
    <cfRule type="expression" priority="79" stopIfTrue="1">
      <formula>M7=""</formula>
    </cfRule>
    <cfRule type="expression" dxfId="267" priority="80" stopIfTrue="1">
      <formula>M7=KeyCustom2</formula>
    </cfRule>
    <cfRule type="expression" dxfId="266" priority="81" stopIfTrue="1">
      <formula>M7=KeyCustom1</formula>
    </cfRule>
    <cfRule type="expression" dxfId="265" priority="82" stopIfTrue="1">
      <formula>M7=KeySick</formula>
    </cfRule>
    <cfRule type="expression" dxfId="264" priority="83" stopIfTrue="1">
      <formula>M7=KeyPersonal</formula>
    </cfRule>
    <cfRule type="expression" dxfId="263" priority="84" stopIfTrue="1">
      <formula>M7=KeyVacation</formula>
    </cfRule>
  </conditionalFormatting>
  <conditionalFormatting sqref="O7:R7 V7:Y7 AG7 C7:C16 L8:AG16">
    <cfRule type="expression" priority="145" stopIfTrue="1">
      <formula>C7=""</formula>
    </cfRule>
    <cfRule type="expression" dxfId="262" priority="146" stopIfTrue="1">
      <formula>C7=KeyCustom2</formula>
    </cfRule>
    <cfRule type="expression" dxfId="261" priority="147" stopIfTrue="1">
      <formula>C7=KeyCustom1</formula>
    </cfRule>
    <cfRule type="expression" dxfId="260" priority="148" stopIfTrue="1">
      <formula>C7=KeySick</formula>
    </cfRule>
    <cfRule type="expression" dxfId="259" priority="149" stopIfTrue="1">
      <formula>C7=KeyPersonal</formula>
    </cfRule>
    <cfRule type="expression" dxfId="258" priority="150" stopIfTrue="1">
      <formula>C7=KeyVacation</formula>
    </cfRule>
  </conditionalFormatting>
  <conditionalFormatting sqref="S7">
    <cfRule type="expression" dxfId="257" priority="60" stopIfTrue="1">
      <formula>S7=KeyVacation</formula>
    </cfRule>
    <cfRule type="expression" dxfId="256" priority="59" stopIfTrue="1">
      <formula>S7=KeyPersonal</formula>
    </cfRule>
    <cfRule type="expression" dxfId="255" priority="58" stopIfTrue="1">
      <formula>S7=KeySick</formula>
    </cfRule>
    <cfRule type="expression" dxfId="254" priority="57" stopIfTrue="1">
      <formula>S7=KeyCustom1</formula>
    </cfRule>
    <cfRule type="expression" dxfId="253" priority="56" stopIfTrue="1">
      <formula>S7=KeyCustom2</formula>
    </cfRule>
    <cfRule type="expression" priority="55" stopIfTrue="1">
      <formula>S7=""</formula>
    </cfRule>
  </conditionalFormatting>
  <conditionalFormatting sqref="T7:U7">
    <cfRule type="expression" dxfId="252" priority="63" stopIfTrue="1">
      <formula>T7=KeyCustom1</formula>
    </cfRule>
    <cfRule type="expression" dxfId="251" priority="66" stopIfTrue="1">
      <formula>T7=KeyVacation</formula>
    </cfRule>
    <cfRule type="expression" dxfId="250" priority="65" stopIfTrue="1">
      <formula>T7=KeyPersonal</formula>
    </cfRule>
    <cfRule type="expression" dxfId="249" priority="64" stopIfTrue="1">
      <formula>T7=KeySick</formula>
    </cfRule>
    <cfRule type="expression" dxfId="248" priority="62" stopIfTrue="1">
      <formula>T7=KeyCustom2</formula>
    </cfRule>
    <cfRule type="expression" priority="61" stopIfTrue="1">
      <formula>T7=""</formula>
    </cfRule>
  </conditionalFormatting>
  <conditionalFormatting sqref="Z7:AF7">
    <cfRule type="expression" dxfId="247" priority="10" stopIfTrue="1">
      <formula>Z7=KeySick</formula>
    </cfRule>
    <cfRule type="expression" dxfId="246" priority="11" stopIfTrue="1">
      <formula>Z7=KeyPersonal</formula>
    </cfRule>
    <cfRule type="expression" dxfId="245" priority="8" stopIfTrue="1">
      <formula>Z7=KeyCustom2</formula>
    </cfRule>
    <cfRule type="expression" priority="7" stopIfTrue="1">
      <formula>Z7=""</formula>
    </cfRule>
    <cfRule type="expression" dxfId="244" priority="9" stopIfTrue="1">
      <formula>Z7=KeyCustom1</formula>
    </cfRule>
    <cfRule type="expression" dxfId="243" priority="12" stopIfTrue="1">
      <formula>Z7=KeyVacation</formula>
    </cfRule>
  </conditionalFormatting>
  <conditionalFormatting sqref="AH7:AH16">
    <cfRule type="dataBar" priority="205">
      <dataBar>
        <cfvo type="num" val="0"/>
        <cfvo type="num" val="31"/>
        <color theme="2" tint="-0.249977111117893"/>
      </dataBar>
      <extLst>
        <ext xmlns:x14="http://schemas.microsoft.com/office/spreadsheetml/2009/9/main" uri="{B025F937-C7B1-47D3-B67F-A62EFF666E3E}">
          <x14:id>{1922F8D4-45C4-4929-A05E-FCD051A15FE9}</x14:id>
        </ext>
      </extLst>
    </cfRule>
  </conditionalFormatting>
  <dataValidations count="14">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500-000000000000}"/>
    <dataValidation allowBlank="1" showInputMessage="1" showErrorMessage="1" prompt="Automatisch bijgewerkt jaar op basis van het jaar dat in het werkblad januari is ingevoerd" sqref="AH4" xr:uid="{00000000-0002-0000-0500-000001000000}"/>
    <dataValidation allowBlank="1" showInputMessage="1" showErrorMessage="1" prompt="Berekent automatisch het totaal aantal dagen die een werknemer in deze maand niet aanwezig was in deze kolom" sqref="AH6" xr:uid="{00000000-0002-0000-0500-000002000000}"/>
    <dataValidation allowBlank="1" showInputMessage="1" showErrorMessage="1" prompt="Houd de afwezigheid in juni in dit werkblad bij" sqref="A1" xr:uid="{00000000-0002-0000-0500-000003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500-000004000000}"/>
    <dataValidation allowBlank="1" showInputMessage="1" showErrorMessage="1" prompt="De titel wordt automatisch bijgewerkt in deze cel. Als u de titel wilt wijzigen, werk B1 in het januari-werkblad bij" sqref="B1" xr:uid="{00000000-0002-0000-0500-000005000000}"/>
    <dataValidation allowBlank="1" showInputMessage="1" showErrorMessage="1" prompt="De letter &quot;V&quot; geeft afwezigheid vanwege vakantie aan" sqref="C2" xr:uid="{00000000-0002-0000-0500-000006000000}"/>
    <dataValidation allowBlank="1" showInputMessage="1" showErrorMessage="1" prompt="De letter &quot;P&quot; geeft afwezigheid vanwege persoonlijke redenen aan" sqref="G2" xr:uid="{00000000-0002-0000-0500-000007000000}"/>
    <dataValidation allowBlank="1" showInputMessage="1" showErrorMessage="1" prompt="De letter &quot;Z&quot; geeft afwezigheid vanwege ziekte aan" sqref="K2" xr:uid="{00000000-0002-0000-0500-000008000000}"/>
    <dataValidation allowBlank="1" showInputMessage="1" showErrorMessage="1" prompt="Voer een letter in en pas rechts het label aan om een ander sleutelitem toe te voegen" sqref="N2 R2" xr:uid="{00000000-0002-0000-0500-000009000000}"/>
    <dataValidation allowBlank="1" showInputMessage="1" showErrorMessage="1" prompt="Voer links een label in om de aangepaste sleutel te beschrijven" sqref="O2:Q2 S2:U2" xr:uid="{00000000-0002-0000-0500-00000A000000}"/>
    <dataValidation allowBlank="1" showInputMessage="1" showErrorMessage="1" prompt="Deze rij definieert de sleutels die worden gebruikt in de tabel: cel C2 is Vakantie, G2 is Persoonlijk en K2 is Ziekteverlof. De cellen N2 en R2 kunnen worden aangepast" sqref="B2" xr:uid="{00000000-0002-0000-0500-00000B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5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5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922F8D4-45C4-4929-A05E-FCD051A15FE9}">
            <x14:dataBar minLength="0" maxLength="100">
              <x14:cfvo type="num">
                <xm:f>0</xm:f>
              </x14:cfvo>
              <x14:cfvo type="num">
                <xm:f>31</xm:f>
              </x14:cfvo>
              <x14:negativeFillColor rgb="FFFF0000"/>
              <x14:axisColor rgb="FF000000"/>
            </x14:dataBar>
          </x14:cfRule>
          <xm:sqref>AH7:AH16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tabColor theme="1"/>
    <pageSetUpPr fitToPage="1"/>
  </sheetPr>
  <dimension ref="B1:AH14"/>
  <sheetViews>
    <sheetView showGridLines="0" zoomScaleNormal="100" workbookViewId="0">
      <selection activeCell="T17" sqref="T17"/>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51</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TEXT(WEEKDAY(DATE(CalendarYear,7,1),1),"aaa")</f>
        <v>di</v>
      </c>
      <c r="D5" s="1" t="str">
        <f>TEXT(WEEKDAY(DATE(CalendarYear,7,2),1),"aaa")</f>
        <v>wo</v>
      </c>
      <c r="E5" s="1" t="str">
        <f>TEXT(WEEKDAY(DATE(CalendarYear,7,3),1),"aaa")</f>
        <v>do</v>
      </c>
      <c r="F5" s="1" t="str">
        <f>TEXT(WEEKDAY(DATE(CalendarYear,7,4),1),"aaa")</f>
        <v>vr</v>
      </c>
      <c r="G5" s="1" t="str">
        <f>TEXT(WEEKDAY(DATE(CalendarYear,7,5),1),"aaa")</f>
        <v>za</v>
      </c>
      <c r="H5" s="1" t="str">
        <f>TEXT(WEEKDAY(DATE(CalendarYear,7,6),1),"aaa")</f>
        <v>zo</v>
      </c>
      <c r="I5" s="1" t="str">
        <f>TEXT(WEEKDAY(DATE(CalendarYear,7,7),1),"aaa")</f>
        <v>ma</v>
      </c>
      <c r="J5" s="1" t="str">
        <f>TEXT(WEEKDAY(DATE(CalendarYear,7,8),1),"aaa")</f>
        <v>di</v>
      </c>
      <c r="K5" s="1" t="str">
        <f>TEXT(WEEKDAY(DATE(CalendarYear,7,9),1),"aaa")</f>
        <v>wo</v>
      </c>
      <c r="L5" s="1" t="str">
        <f>TEXT(WEEKDAY(DATE(CalendarYear,7,10),1),"aaa")</f>
        <v>do</v>
      </c>
      <c r="M5" s="1" t="str">
        <f>TEXT(WEEKDAY(DATE(CalendarYear,7,11),1),"aaa")</f>
        <v>vr</v>
      </c>
      <c r="N5" s="1" t="str">
        <f>TEXT(WEEKDAY(DATE(CalendarYear,7,12),1),"aaa")</f>
        <v>za</v>
      </c>
      <c r="O5" s="1" t="str">
        <f>TEXT(WEEKDAY(DATE(CalendarYear,7,13),1),"aaa")</f>
        <v>zo</v>
      </c>
      <c r="P5" s="1" t="str">
        <f>TEXT(WEEKDAY(DATE(CalendarYear,7,14),1),"aaa")</f>
        <v>ma</v>
      </c>
      <c r="Q5" s="1" t="str">
        <f>TEXT(WEEKDAY(DATE(CalendarYear,7,15),1),"aaa")</f>
        <v>di</v>
      </c>
      <c r="R5" s="1" t="str">
        <f>TEXT(WEEKDAY(DATE(CalendarYear,7,16),1),"aaa")</f>
        <v>wo</v>
      </c>
      <c r="S5" s="1" t="str">
        <f>TEXT(WEEKDAY(DATE(CalendarYear,7,17),1),"aaa")</f>
        <v>do</v>
      </c>
      <c r="T5" s="1" t="str">
        <f>TEXT(WEEKDAY(DATE(CalendarYear,7,18),1),"aaa")</f>
        <v>vr</v>
      </c>
      <c r="U5" s="1" t="str">
        <f>TEXT(WEEKDAY(DATE(CalendarYear,7,19),1),"aaa")</f>
        <v>za</v>
      </c>
      <c r="V5" s="1" t="str">
        <f>TEXT(WEEKDAY(DATE(CalendarYear,7,20),1),"aaa")</f>
        <v>zo</v>
      </c>
      <c r="W5" s="1" t="str">
        <f>TEXT(WEEKDAY(DATE(CalendarYear,7,21),1),"aaa")</f>
        <v>ma</v>
      </c>
      <c r="X5" s="1" t="str">
        <f>TEXT(WEEKDAY(DATE(CalendarYear,7,22),1),"aaa")</f>
        <v>di</v>
      </c>
      <c r="Y5" s="1" t="str">
        <f>TEXT(WEEKDAY(DATE(CalendarYear,7,23),1),"aaa")</f>
        <v>wo</v>
      </c>
      <c r="Z5" s="1" t="str">
        <f>TEXT(WEEKDAY(DATE(CalendarYear,7,24),1),"aaa")</f>
        <v>do</v>
      </c>
      <c r="AA5" s="1" t="str">
        <f>TEXT(WEEKDAY(DATE(CalendarYear,7,25),1),"aaa")</f>
        <v>vr</v>
      </c>
      <c r="AB5" s="1" t="str">
        <f>TEXT(WEEKDAY(DATE(CalendarYear,7,26),1),"aaa")</f>
        <v>za</v>
      </c>
      <c r="AC5" s="1" t="str">
        <f>TEXT(WEEKDAY(DATE(CalendarYear,7,27),1),"aaa")</f>
        <v>zo</v>
      </c>
      <c r="AD5" s="1" t="str">
        <f>TEXT(WEEKDAY(DATE(CalendarYear,7,28),1),"aaa")</f>
        <v>ma</v>
      </c>
      <c r="AE5" s="1" t="str">
        <f>TEXT(WEEKDAY(DATE(CalendarYear,7,29),1),"aaa")</f>
        <v>di</v>
      </c>
      <c r="AF5" s="1" t="str">
        <f>TEXT(WEEKDAY(DATE(CalendarYear,7,30),1),"aaa")</f>
        <v>wo</v>
      </c>
      <c r="AG5" s="1" t="str">
        <f>TEXT(WEEKDAY(DATE(CalendarYear,7,31),1),"aaa")</f>
        <v>do</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61</v>
      </c>
      <c r="C7" s="1" t="s">
        <v>67</v>
      </c>
      <c r="D7" s="1" t="s">
        <v>67</v>
      </c>
      <c r="E7" s="1" t="s">
        <v>67</v>
      </c>
      <c r="F7" s="1" t="s">
        <v>67</v>
      </c>
      <c r="G7" s="1">
        <v>4</v>
      </c>
      <c r="H7" s="1">
        <v>4</v>
      </c>
      <c r="I7" s="1" t="s">
        <v>4</v>
      </c>
      <c r="J7" s="1" t="s">
        <v>4</v>
      </c>
      <c r="K7" s="1" t="s">
        <v>4</v>
      </c>
      <c r="L7" s="1" t="s">
        <v>4</v>
      </c>
      <c r="M7" s="1" t="s">
        <v>4</v>
      </c>
      <c r="N7" s="1" t="s">
        <v>4</v>
      </c>
      <c r="O7" s="1" t="s">
        <v>4</v>
      </c>
      <c r="P7" s="1" t="s">
        <v>4</v>
      </c>
      <c r="Q7" s="1" t="s">
        <v>4</v>
      </c>
      <c r="R7" s="1" t="s">
        <v>4</v>
      </c>
      <c r="S7" s="1" t="s">
        <v>4</v>
      </c>
      <c r="T7" s="1" t="s">
        <v>4</v>
      </c>
      <c r="U7" s="1" t="s">
        <v>4</v>
      </c>
      <c r="V7" s="1" t="s">
        <v>4</v>
      </c>
      <c r="W7" s="1" t="s">
        <v>4</v>
      </c>
      <c r="X7" s="1" t="s">
        <v>4</v>
      </c>
      <c r="Y7" s="1" t="s">
        <v>4</v>
      </c>
      <c r="Z7" s="1" t="s">
        <v>4</v>
      </c>
      <c r="AA7" s="1" t="s">
        <v>4</v>
      </c>
      <c r="AB7" s="1" t="s">
        <v>4</v>
      </c>
      <c r="AC7" s="1" t="s">
        <v>4</v>
      </c>
      <c r="AD7" s="1" t="s">
        <v>4</v>
      </c>
      <c r="AE7" s="1" t="s">
        <v>4</v>
      </c>
      <c r="AF7" s="1" t="s">
        <v>4</v>
      </c>
      <c r="AG7" s="1" t="s">
        <v>4</v>
      </c>
      <c r="AH7" s="7">
        <f>SUM(Juli[[#This Row],[1]:[31]])</f>
        <v>8</v>
      </c>
    </row>
    <row r="8" spans="2:34" ht="30" customHeight="1" x14ac:dyDescent="0.25">
      <c r="B8" s="19" t="s">
        <v>77</v>
      </c>
      <c r="C8" s="1" t="s">
        <v>67</v>
      </c>
      <c r="D8" s="1" t="s">
        <v>67</v>
      </c>
      <c r="E8" s="1" t="s">
        <v>67</v>
      </c>
      <c r="F8" s="1">
        <v>3.5</v>
      </c>
      <c r="G8" s="1">
        <v>3.5</v>
      </c>
      <c r="H8" s="1">
        <v>3.5</v>
      </c>
      <c r="I8" s="1" t="s">
        <v>4</v>
      </c>
      <c r="J8" s="1" t="s">
        <v>4</v>
      </c>
      <c r="K8" s="1" t="s">
        <v>4</v>
      </c>
      <c r="L8" s="1" t="s">
        <v>4</v>
      </c>
      <c r="M8" s="1" t="s">
        <v>4</v>
      </c>
      <c r="N8" s="1" t="s">
        <v>4</v>
      </c>
      <c r="O8" s="1" t="s">
        <v>4</v>
      </c>
      <c r="P8" s="1" t="s">
        <v>4</v>
      </c>
      <c r="Q8" s="1" t="s">
        <v>4</v>
      </c>
      <c r="R8" s="1" t="s">
        <v>4</v>
      </c>
      <c r="S8" s="1" t="s">
        <v>4</v>
      </c>
      <c r="T8" s="1" t="s">
        <v>4</v>
      </c>
      <c r="U8" s="1" t="s">
        <v>4</v>
      </c>
      <c r="V8" s="1" t="s">
        <v>4</v>
      </c>
      <c r="W8" s="1" t="s">
        <v>4</v>
      </c>
      <c r="X8" s="1" t="s">
        <v>4</v>
      </c>
      <c r="Y8" s="1" t="s">
        <v>4</v>
      </c>
      <c r="Z8" s="1" t="s">
        <v>4</v>
      </c>
      <c r="AA8" s="1" t="s">
        <v>4</v>
      </c>
      <c r="AB8" s="1" t="s">
        <v>4</v>
      </c>
      <c r="AC8" s="1" t="s">
        <v>4</v>
      </c>
      <c r="AD8" s="1" t="s">
        <v>4</v>
      </c>
      <c r="AE8" s="1" t="s">
        <v>4</v>
      </c>
      <c r="AF8" s="1" t="s">
        <v>4</v>
      </c>
      <c r="AG8" s="1" t="s">
        <v>4</v>
      </c>
      <c r="AH8" s="7">
        <f>SUM(Juli[[#This Row],[1]:[31]])</f>
        <v>10.5</v>
      </c>
    </row>
    <row r="9" spans="2:34" ht="30" customHeight="1" x14ac:dyDescent="0.25">
      <c r="B9" s="20" t="s">
        <v>76</v>
      </c>
      <c r="C9" s="1" t="s">
        <v>67</v>
      </c>
      <c r="D9" s="1" t="s">
        <v>67</v>
      </c>
      <c r="E9" s="1" t="s">
        <v>67</v>
      </c>
      <c r="F9" s="1">
        <v>5</v>
      </c>
      <c r="G9" s="1">
        <v>5</v>
      </c>
      <c r="H9" s="1">
        <v>5</v>
      </c>
      <c r="I9" s="1" t="s">
        <v>4</v>
      </c>
      <c r="J9" s="1" t="s">
        <v>4</v>
      </c>
      <c r="K9" s="1" t="s">
        <v>4</v>
      </c>
      <c r="L9" s="1" t="s">
        <v>4</v>
      </c>
      <c r="M9" s="1" t="s">
        <v>4</v>
      </c>
      <c r="N9" s="1" t="s">
        <v>4</v>
      </c>
      <c r="O9" s="1" t="s">
        <v>4</v>
      </c>
      <c r="P9" s="1" t="s">
        <v>4</v>
      </c>
      <c r="Q9" s="1" t="s">
        <v>4</v>
      </c>
      <c r="R9" s="1" t="s">
        <v>4</v>
      </c>
      <c r="S9" s="1" t="s">
        <v>4</v>
      </c>
      <c r="T9" s="1" t="s">
        <v>4</v>
      </c>
      <c r="U9" s="1" t="s">
        <v>4</v>
      </c>
      <c r="V9" s="1" t="s">
        <v>4</v>
      </c>
      <c r="W9" s="1" t="s">
        <v>4</v>
      </c>
      <c r="X9" s="1" t="s">
        <v>4</v>
      </c>
      <c r="Y9" s="1" t="s">
        <v>4</v>
      </c>
      <c r="Z9" s="1" t="s">
        <v>4</v>
      </c>
      <c r="AA9" s="1" t="s">
        <v>4</v>
      </c>
      <c r="AB9" s="1" t="s">
        <v>4</v>
      </c>
      <c r="AC9" s="1" t="s">
        <v>4</v>
      </c>
      <c r="AD9" s="1" t="s">
        <v>4</v>
      </c>
      <c r="AE9" s="1" t="s">
        <v>4</v>
      </c>
      <c r="AF9" s="1" t="s">
        <v>4</v>
      </c>
      <c r="AG9" s="1" t="s">
        <v>4</v>
      </c>
      <c r="AH9" s="7">
        <f>SUM(Juli[[#This Row],[1]:[31]])</f>
        <v>15</v>
      </c>
    </row>
    <row r="10" spans="2:34" ht="30" customHeight="1" x14ac:dyDescent="0.25">
      <c r="B10" t="s">
        <v>64</v>
      </c>
      <c r="C10" s="1" t="s">
        <v>67</v>
      </c>
      <c r="D10" s="1">
        <v>4</v>
      </c>
      <c r="E10" s="1">
        <v>4</v>
      </c>
      <c r="F10" s="1">
        <v>4</v>
      </c>
      <c r="G10" s="1">
        <v>4</v>
      </c>
      <c r="H10" s="1">
        <v>4</v>
      </c>
      <c r="I10" s="1" t="s">
        <v>4</v>
      </c>
      <c r="J10" s="1" t="s">
        <v>4</v>
      </c>
      <c r="K10" s="1" t="s">
        <v>4</v>
      </c>
      <c r="L10" s="1" t="s">
        <v>4</v>
      </c>
      <c r="M10" s="1" t="s">
        <v>4</v>
      </c>
      <c r="N10" s="1" t="s">
        <v>4</v>
      </c>
      <c r="O10" s="1" t="s">
        <v>4</v>
      </c>
      <c r="P10" s="1" t="s">
        <v>4</v>
      </c>
      <c r="Q10" s="1" t="s">
        <v>4</v>
      </c>
      <c r="R10" s="1" t="s">
        <v>4</v>
      </c>
      <c r="S10" s="1" t="s">
        <v>4</v>
      </c>
      <c r="T10" s="1" t="s">
        <v>4</v>
      </c>
      <c r="U10" s="1" t="s">
        <v>4</v>
      </c>
      <c r="V10" s="1" t="s">
        <v>4</v>
      </c>
      <c r="W10" s="1" t="s">
        <v>4</v>
      </c>
      <c r="X10" s="1" t="s">
        <v>4</v>
      </c>
      <c r="Y10" s="1" t="s">
        <v>4</v>
      </c>
      <c r="Z10" s="1" t="s">
        <v>4</v>
      </c>
      <c r="AA10" s="1" t="s">
        <v>4</v>
      </c>
      <c r="AB10" s="1" t="s">
        <v>4</v>
      </c>
      <c r="AC10" s="1" t="s">
        <v>4</v>
      </c>
      <c r="AD10" s="1" t="s">
        <v>4</v>
      </c>
      <c r="AE10" s="1" t="s">
        <v>4</v>
      </c>
      <c r="AF10" s="1" t="s">
        <v>4</v>
      </c>
      <c r="AG10" s="1" t="s">
        <v>4</v>
      </c>
      <c r="AH10" s="7">
        <f>SUM(Juli[[#This Row],[1]:[31]])</f>
        <v>20</v>
      </c>
    </row>
    <row r="11" spans="2:34" ht="30" customHeight="1" x14ac:dyDescent="0.25">
      <c r="B11" t="s">
        <v>70</v>
      </c>
      <c r="C11" s="1" t="s">
        <v>67</v>
      </c>
      <c r="D11" s="1" t="s">
        <v>67</v>
      </c>
      <c r="E11" s="1">
        <v>4</v>
      </c>
      <c r="F11" s="1">
        <v>4</v>
      </c>
      <c r="G11" s="1">
        <v>4</v>
      </c>
      <c r="H11" s="1">
        <v>4</v>
      </c>
      <c r="I11" s="1" t="s">
        <v>4</v>
      </c>
      <c r="J11" s="1" t="s">
        <v>4</v>
      </c>
      <c r="K11" s="1" t="s">
        <v>4</v>
      </c>
      <c r="L11" s="1" t="s">
        <v>4</v>
      </c>
      <c r="M11" s="1" t="s">
        <v>4</v>
      </c>
      <c r="N11" s="1" t="s">
        <v>4</v>
      </c>
      <c r="O11" s="1" t="s">
        <v>4</v>
      </c>
      <c r="P11" s="1" t="s">
        <v>4</v>
      </c>
      <c r="Q11" s="1" t="s">
        <v>4</v>
      </c>
      <c r="R11" s="1" t="s">
        <v>4</v>
      </c>
      <c r="S11" s="1" t="s">
        <v>4</v>
      </c>
      <c r="T11" s="1" t="s">
        <v>4</v>
      </c>
      <c r="U11" s="1" t="s">
        <v>4</v>
      </c>
      <c r="V11" s="1" t="s">
        <v>4</v>
      </c>
      <c r="W11" s="1" t="s">
        <v>4</v>
      </c>
      <c r="X11" s="1" t="s">
        <v>4</v>
      </c>
      <c r="Y11" s="1" t="s">
        <v>4</v>
      </c>
      <c r="Z11" s="1" t="s">
        <v>4</v>
      </c>
      <c r="AA11" s="1" t="s">
        <v>4</v>
      </c>
      <c r="AB11" s="1" t="s">
        <v>4</v>
      </c>
      <c r="AC11" s="1" t="s">
        <v>4</v>
      </c>
      <c r="AD11" s="1" t="s">
        <v>4</v>
      </c>
      <c r="AE11" s="1" t="s">
        <v>4</v>
      </c>
      <c r="AF11" s="1" t="s">
        <v>4</v>
      </c>
      <c r="AG11" s="1" t="s">
        <v>4</v>
      </c>
      <c r="AH11" s="7">
        <f>SUM(Juli[[#This Row],[1]:[31]])</f>
        <v>16</v>
      </c>
    </row>
    <row r="12" spans="2:34" ht="30" customHeight="1" x14ac:dyDescent="0.25">
      <c r="B12" t="s">
        <v>63</v>
      </c>
      <c r="C12" s="1">
        <v>3.5</v>
      </c>
      <c r="D12" s="1">
        <v>3.5</v>
      </c>
      <c r="E12" s="1" t="s">
        <v>67</v>
      </c>
      <c r="F12" s="1">
        <v>3.5</v>
      </c>
      <c r="G12" s="1" t="s">
        <v>4</v>
      </c>
      <c r="H12" s="1">
        <v>3.5</v>
      </c>
      <c r="I12" s="1" t="s">
        <v>4</v>
      </c>
      <c r="J12" s="1" t="s">
        <v>4</v>
      </c>
      <c r="K12" s="1" t="s">
        <v>4</v>
      </c>
      <c r="L12" s="1" t="s">
        <v>4</v>
      </c>
      <c r="M12" s="1" t="s">
        <v>4</v>
      </c>
      <c r="N12" s="1" t="s">
        <v>4</v>
      </c>
      <c r="O12" s="1" t="s">
        <v>4</v>
      </c>
      <c r="P12" s="1" t="s">
        <v>4</v>
      </c>
      <c r="Q12" s="1" t="s">
        <v>4</v>
      </c>
      <c r="R12" s="1" t="s">
        <v>4</v>
      </c>
      <c r="S12" s="1" t="s">
        <v>4</v>
      </c>
      <c r="T12" s="1" t="s">
        <v>4</v>
      </c>
      <c r="U12" s="1" t="s">
        <v>4</v>
      </c>
      <c r="V12" s="1" t="s">
        <v>4</v>
      </c>
      <c r="W12" s="1" t="s">
        <v>4</v>
      </c>
      <c r="X12" s="1" t="s">
        <v>4</v>
      </c>
      <c r="Y12" s="1" t="s">
        <v>4</v>
      </c>
      <c r="Z12" s="1" t="s">
        <v>4</v>
      </c>
      <c r="AA12" s="1" t="s">
        <v>4</v>
      </c>
      <c r="AB12" s="1" t="s">
        <v>4</v>
      </c>
      <c r="AC12" s="1" t="s">
        <v>4</v>
      </c>
      <c r="AD12" s="1" t="s">
        <v>4</v>
      </c>
      <c r="AE12" s="1" t="s">
        <v>4</v>
      </c>
      <c r="AF12" s="1" t="s">
        <v>4</v>
      </c>
      <c r="AG12" s="1" t="s">
        <v>4</v>
      </c>
      <c r="AH12" s="7">
        <f>SUM(Juli[[#This Row],[1]:[31]])</f>
        <v>14</v>
      </c>
    </row>
    <row r="13" spans="2:34" ht="30" customHeight="1" x14ac:dyDescent="0.25">
      <c r="B13" s="19" t="s">
        <v>75</v>
      </c>
      <c r="C13" s="1" t="s">
        <v>67</v>
      </c>
      <c r="D13" s="1" t="s">
        <v>67</v>
      </c>
      <c r="E13" s="1" t="s">
        <v>67</v>
      </c>
      <c r="F13" s="1">
        <v>5</v>
      </c>
      <c r="G13" s="1">
        <v>5</v>
      </c>
      <c r="H13" s="1">
        <v>5</v>
      </c>
      <c r="I13" s="1" t="s">
        <v>4</v>
      </c>
      <c r="J13" s="1" t="s">
        <v>4</v>
      </c>
      <c r="K13" s="1" t="s">
        <v>4</v>
      </c>
      <c r="L13" s="1" t="s">
        <v>4</v>
      </c>
      <c r="M13" s="1" t="s">
        <v>4</v>
      </c>
      <c r="N13" s="1" t="s">
        <v>4</v>
      </c>
      <c r="O13" s="1" t="s">
        <v>4</v>
      </c>
      <c r="P13" s="1" t="s">
        <v>4</v>
      </c>
      <c r="Q13" s="1" t="s">
        <v>4</v>
      </c>
      <c r="R13" s="1" t="s">
        <v>4</v>
      </c>
      <c r="S13" s="1" t="s">
        <v>4</v>
      </c>
      <c r="T13" s="1" t="s">
        <v>4</v>
      </c>
      <c r="U13" s="1" t="s">
        <v>4</v>
      </c>
      <c r="V13" s="1" t="s">
        <v>4</v>
      </c>
      <c r="W13" s="1" t="s">
        <v>4</v>
      </c>
      <c r="X13" s="1" t="s">
        <v>4</v>
      </c>
      <c r="Y13" s="1" t="s">
        <v>4</v>
      </c>
      <c r="Z13" s="1" t="s">
        <v>4</v>
      </c>
      <c r="AA13" s="1" t="s">
        <v>4</v>
      </c>
      <c r="AB13" s="1" t="s">
        <v>4</v>
      </c>
      <c r="AC13" s="1" t="s">
        <v>4</v>
      </c>
      <c r="AD13" s="1" t="s">
        <v>4</v>
      </c>
      <c r="AE13" s="1" t="s">
        <v>4</v>
      </c>
      <c r="AF13" s="1" t="s">
        <v>4</v>
      </c>
      <c r="AG13" s="1" t="s">
        <v>4</v>
      </c>
      <c r="AH13" s="7">
        <f>SUM(Juli[[#This Row],[1]:[31]])</f>
        <v>15</v>
      </c>
    </row>
    <row r="14" spans="2:34" ht="30" customHeight="1" x14ac:dyDescent="0.25">
      <c r="B14" s="16" t="str">
        <f>MonthName&amp;" Totaal"</f>
        <v>Juli Totaal</v>
      </c>
      <c r="C14" s="9">
        <f>SUM(Juli[1])</f>
        <v>3.5</v>
      </c>
      <c r="D14" s="9">
        <f>SUM(Juli[2])</f>
        <v>7.5</v>
      </c>
      <c r="E14" s="9">
        <f>SUM(Juli[3])</f>
        <v>8</v>
      </c>
      <c r="F14" s="9">
        <f>SUM(Juli[4])</f>
        <v>25</v>
      </c>
      <c r="G14" s="9">
        <f>SUM(Juli[5])</f>
        <v>25.5</v>
      </c>
      <c r="H14" s="9">
        <f>SUM(Juli[6])</f>
        <v>29</v>
      </c>
      <c r="I14" s="9">
        <f>SUM(Juli[7])</f>
        <v>0</v>
      </c>
      <c r="J14" s="9">
        <f>SUM(Juli[8])</f>
        <v>0</v>
      </c>
      <c r="K14" s="9">
        <f>SUM(Juli[9])</f>
        <v>0</v>
      </c>
      <c r="L14" s="9">
        <f>SUM(Juli[10])</f>
        <v>0</v>
      </c>
      <c r="M14" s="9">
        <f>SUM(Juli[11])</f>
        <v>0</v>
      </c>
      <c r="N14" s="9">
        <f>SUM(Juli[12])</f>
        <v>0</v>
      </c>
      <c r="O14" s="9">
        <f>SUM(Juli[13])</f>
        <v>0</v>
      </c>
      <c r="P14" s="9">
        <f>SUM(Juli[14])</f>
        <v>0</v>
      </c>
      <c r="Q14" s="9">
        <f>SUM(Juli[15])</f>
        <v>0</v>
      </c>
      <c r="R14" s="9">
        <f>SUM(Juli[16])</f>
        <v>0</v>
      </c>
      <c r="S14" s="9">
        <f>SUM(Juli[17])</f>
        <v>0</v>
      </c>
      <c r="T14" s="9">
        <f>SUM(Juli[18])</f>
        <v>0</v>
      </c>
      <c r="U14" s="9">
        <f>SUM(Juli[19])</f>
        <v>0</v>
      </c>
      <c r="V14" s="9">
        <f>SUM(Juli[20])</f>
        <v>0</v>
      </c>
      <c r="W14" s="9">
        <f>SUM(Juli[21])</f>
        <v>0</v>
      </c>
      <c r="X14" s="9">
        <f>SUM(Juli[22])</f>
        <v>0</v>
      </c>
      <c r="Y14" s="9">
        <f>SUM(Juli[23])</f>
        <v>0</v>
      </c>
      <c r="Z14" s="9">
        <f>SUM(Juli[24])</f>
        <v>0</v>
      </c>
      <c r="AA14" s="9">
        <f>SUM(Juli[25])</f>
        <v>0</v>
      </c>
      <c r="AB14" s="9">
        <f>SUM(Juli[26])</f>
        <v>0</v>
      </c>
      <c r="AC14" s="9">
        <f>SUM(Juli[27])</f>
        <v>0</v>
      </c>
      <c r="AD14" s="9">
        <f>SUM(Juli[28])</f>
        <v>0</v>
      </c>
      <c r="AE14" s="9">
        <f>SUM(Juli[29])</f>
        <v>0</v>
      </c>
      <c r="AF14" s="9">
        <f>SUM(Juli[30])</f>
        <v>0</v>
      </c>
      <c r="AG14" s="9">
        <f>SUM(Juli[31])</f>
        <v>0</v>
      </c>
      <c r="AH14" s="9">
        <f>SUBTOTAL(109,Juli[Totaal aantal uren])</f>
        <v>98.5</v>
      </c>
    </row>
  </sheetData>
  <mergeCells count="6">
    <mergeCell ref="C4:AG4"/>
    <mergeCell ref="D2:F2"/>
    <mergeCell ref="H2:J2"/>
    <mergeCell ref="L2:M2"/>
    <mergeCell ref="O2:Q2"/>
    <mergeCell ref="S2:U2"/>
  </mergeCells>
  <conditionalFormatting sqref="C7:AG13">
    <cfRule type="expression" priority="1" stopIfTrue="1">
      <formula>C7=""</formula>
    </cfRule>
    <cfRule type="expression" dxfId="242" priority="2" stopIfTrue="1">
      <formula>C7=KeyCustom2</formula>
    </cfRule>
    <cfRule type="expression" dxfId="241" priority="3" stopIfTrue="1">
      <formula>C7=KeyCustom1</formula>
    </cfRule>
    <cfRule type="expression" dxfId="240" priority="4" stopIfTrue="1">
      <formula>C7=KeySick</formula>
    </cfRule>
    <cfRule type="expression" dxfId="239" priority="5" stopIfTrue="1">
      <formula>C7=KeyPersonal</formula>
    </cfRule>
    <cfRule type="expression" dxfId="238" priority="6" stopIfTrue="1">
      <formula>C7=KeyVacation</formula>
    </cfRule>
  </conditionalFormatting>
  <conditionalFormatting sqref="AH7:AH13">
    <cfRule type="dataBar" priority="13">
      <dataBar>
        <cfvo type="num" val="0"/>
        <cfvo type="num" val="31"/>
        <color theme="2" tint="-0.249977111117893"/>
      </dataBar>
      <extLst>
        <ext xmlns:x14="http://schemas.microsoft.com/office/spreadsheetml/2009/9/main" uri="{B025F937-C7B1-47D3-B67F-A62EFF666E3E}">
          <x14:id>{37C0AAA7-A920-4B94-BF37-7B2F88187E54}</x14:id>
        </ext>
      </extLst>
    </cfRule>
  </conditionalFormatting>
  <dataValidations count="14">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600-000000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600-000001000000}"/>
    <dataValidation allowBlank="1" showInputMessage="1" showErrorMessage="1" prompt="Deze rij definieert de sleutels die worden gebruikt in de tabel: cel C2 is Vakantie, G2 is Persoonlijk en K2 is Ziekteverlof. De cellen N2 en R2 kunnen worden aangepast" sqref="B2" xr:uid="{00000000-0002-0000-0600-000002000000}"/>
    <dataValidation allowBlank="1" showInputMessage="1" showErrorMessage="1" prompt="Voer links een label in om de aangepaste sleutel te beschrijven" sqref="O2:Q2 S2:U2" xr:uid="{00000000-0002-0000-0600-000003000000}"/>
    <dataValidation allowBlank="1" showInputMessage="1" showErrorMessage="1" prompt="Voer een letter in en pas rechts het label aan om een ander sleutelitem toe te voegen" sqref="N2 R2" xr:uid="{00000000-0002-0000-0600-000004000000}"/>
    <dataValidation allowBlank="1" showInputMessage="1" showErrorMessage="1" prompt="De letter &quot;Z&quot; geeft afwezigheid vanwege ziekte aan" sqref="K2" xr:uid="{00000000-0002-0000-0600-000005000000}"/>
    <dataValidation allowBlank="1" showInputMessage="1" showErrorMessage="1" prompt="De letter &quot;P&quot; geeft afwezigheid vanwege persoonlijke redenen aan" sqref="G2" xr:uid="{00000000-0002-0000-0600-000006000000}"/>
    <dataValidation allowBlank="1" showInputMessage="1" showErrorMessage="1" prompt="De letter &quot;V&quot; geeft afwezigheid vanwege vakantie aan" sqref="C2" xr:uid="{00000000-0002-0000-0600-000007000000}"/>
    <dataValidation allowBlank="1" showInputMessage="1" showErrorMessage="1" prompt="De titel wordt automatisch bijgewerkt in deze cel. Als u de titel wilt wijzigen, werk B1 in het januari-werkblad bij" sqref="B1" xr:uid="{00000000-0002-0000-06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600-000009000000}"/>
    <dataValidation allowBlank="1" showInputMessage="1" showErrorMessage="1" prompt="Houd de afwezigheid in juli in dit werkblad bij" sqref="A1" xr:uid="{00000000-0002-0000-0600-00000A000000}"/>
    <dataValidation allowBlank="1" showInputMessage="1" showErrorMessage="1" prompt="Berekent automatisch het totaal aantal dagen die een werknemer in deze maand niet aanwezig was in deze kolom" sqref="AH6" xr:uid="{00000000-0002-0000-0600-00000B000000}"/>
    <dataValidation allowBlank="1" showInputMessage="1" showErrorMessage="1" prompt="Automatisch bijgewerkt jaar op basis van het jaar dat in het werkblad januari is ingevoerd" sqref="AH4" xr:uid="{00000000-0002-0000-06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6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7C0AAA7-A920-4B94-BF37-7B2F88187E54}">
            <x14:dataBar minLength="0" maxLength="100">
              <x14:cfvo type="num">
                <xm:f>0</xm:f>
              </x14:cfvo>
              <x14:cfvo type="num">
                <xm:f>31</xm:f>
              </x14:cfvo>
              <x14:negativeFillColor rgb="FFFF0000"/>
              <x14:axisColor rgb="FF000000"/>
            </x14:dataBar>
          </x14:cfRule>
          <xm:sqref>AH7:AH13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tabColor theme="2" tint="-0.749992370372631"/>
    <pageSetUpPr fitToPage="1"/>
  </sheetPr>
  <dimension ref="B1:AH14"/>
  <sheetViews>
    <sheetView showGridLines="0" zoomScaleNormal="100" workbookViewId="0">
      <selection activeCell="AF12" sqref="AF12"/>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52</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TEXT(WEEKDAY(DATE(CalendarYear,8,1),1),"aaa")</f>
        <v>vr</v>
      </c>
      <c r="D5" s="1" t="str">
        <f>TEXT(WEEKDAY(DATE(CalendarYear,8,2),1),"aaa")</f>
        <v>za</v>
      </c>
      <c r="E5" s="1" t="str">
        <f>TEXT(WEEKDAY(DATE(CalendarYear,8,3),1),"aaa")</f>
        <v>zo</v>
      </c>
      <c r="F5" s="1" t="str">
        <f>TEXT(WEEKDAY(DATE(CalendarYear,8,4),1),"aaa")</f>
        <v>ma</v>
      </c>
      <c r="G5" s="1" t="str">
        <f>TEXT(WEEKDAY(DATE(CalendarYear,8,5),1),"aaa")</f>
        <v>di</v>
      </c>
      <c r="H5" s="1" t="str">
        <f>TEXT(WEEKDAY(DATE(CalendarYear,8,6),1),"aaa")</f>
        <v>wo</v>
      </c>
      <c r="I5" s="1" t="str">
        <f>TEXT(WEEKDAY(DATE(CalendarYear,8,7),1),"aaa")</f>
        <v>do</v>
      </c>
      <c r="J5" s="1" t="str">
        <f>TEXT(WEEKDAY(DATE(CalendarYear,8,8),1),"aaa")</f>
        <v>vr</v>
      </c>
      <c r="K5" s="1" t="str">
        <f>TEXT(WEEKDAY(DATE(CalendarYear,8,9),1),"aaa")</f>
        <v>za</v>
      </c>
      <c r="L5" s="1" t="str">
        <f>TEXT(WEEKDAY(DATE(CalendarYear,8,10),1),"aaa")</f>
        <v>zo</v>
      </c>
      <c r="M5" s="1" t="str">
        <f>TEXT(WEEKDAY(DATE(CalendarYear,8,11),1),"aaa")</f>
        <v>ma</v>
      </c>
      <c r="N5" s="1" t="str">
        <f>TEXT(WEEKDAY(DATE(CalendarYear,8,12),1),"aaa")</f>
        <v>di</v>
      </c>
      <c r="O5" s="1" t="str">
        <f>TEXT(WEEKDAY(DATE(CalendarYear,8,13),1),"aaa")</f>
        <v>wo</v>
      </c>
      <c r="P5" s="1" t="str">
        <f>TEXT(WEEKDAY(DATE(CalendarYear,8,14),1),"aaa")</f>
        <v>do</v>
      </c>
      <c r="Q5" s="1" t="str">
        <f>TEXT(WEEKDAY(DATE(CalendarYear,8,15),1),"aaa")</f>
        <v>vr</v>
      </c>
      <c r="R5" s="1" t="str">
        <f>TEXT(WEEKDAY(DATE(CalendarYear,8,16),1),"aaa")</f>
        <v>za</v>
      </c>
      <c r="S5" s="1" t="str">
        <f>TEXT(WEEKDAY(DATE(CalendarYear,8,17),1),"aaa")</f>
        <v>zo</v>
      </c>
      <c r="T5" s="1" t="str">
        <f>TEXT(WEEKDAY(DATE(CalendarYear,8,18),1),"aaa")</f>
        <v>ma</v>
      </c>
      <c r="U5" s="1" t="str">
        <f>TEXT(WEEKDAY(DATE(CalendarYear,8,19),1),"aaa")</f>
        <v>di</v>
      </c>
      <c r="V5" s="1" t="str">
        <f>TEXT(WEEKDAY(DATE(CalendarYear,8,20),1),"aaa")</f>
        <v>wo</v>
      </c>
      <c r="W5" s="1" t="str">
        <f>TEXT(WEEKDAY(DATE(CalendarYear,8,21),1),"aaa")</f>
        <v>do</v>
      </c>
      <c r="X5" s="1" t="str">
        <f>TEXT(WEEKDAY(DATE(CalendarYear,8,22),1),"aaa")</f>
        <v>vr</v>
      </c>
      <c r="Y5" s="1" t="str">
        <f>TEXT(WEEKDAY(DATE(CalendarYear,8,23),1),"aaa")</f>
        <v>za</v>
      </c>
      <c r="Z5" s="1" t="str">
        <f>TEXT(WEEKDAY(DATE(CalendarYear,8,24),1),"aaa")</f>
        <v>zo</v>
      </c>
      <c r="AA5" s="1" t="str">
        <f>TEXT(WEEKDAY(DATE(CalendarYear,8,25),1),"aaa")</f>
        <v>ma</v>
      </c>
      <c r="AB5" s="1" t="str">
        <f>TEXT(WEEKDAY(DATE(CalendarYear,8,26),1),"aaa")</f>
        <v>di</v>
      </c>
      <c r="AC5" s="1" t="str">
        <f>TEXT(WEEKDAY(DATE(CalendarYear,8,27),1),"aaa")</f>
        <v>wo</v>
      </c>
      <c r="AD5" s="1" t="str">
        <f>TEXT(WEEKDAY(DATE(CalendarYear,8,28),1),"aaa")</f>
        <v>do</v>
      </c>
      <c r="AE5" s="1" t="str">
        <f>TEXT(WEEKDAY(DATE(CalendarYear,8,29),1),"aaa")</f>
        <v>vr</v>
      </c>
      <c r="AF5" s="1" t="str">
        <f>TEXT(WEEKDAY(DATE(CalendarYear,8,30),1),"aaa")</f>
        <v>za</v>
      </c>
      <c r="AG5" s="1" t="str">
        <f>TEXT(WEEKDAY(DATE(CalendarYear,8,31),1),"aaa")</f>
        <v>zo</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65</v>
      </c>
      <c r="C7" s="1" t="s">
        <v>4</v>
      </c>
      <c r="D7" s="1" t="s">
        <v>4</v>
      </c>
      <c r="E7" s="1" t="s">
        <v>4</v>
      </c>
      <c r="F7" s="1" t="s">
        <v>4</v>
      </c>
      <c r="G7" s="1" t="s">
        <v>4</v>
      </c>
      <c r="H7" s="1" t="s">
        <v>4</v>
      </c>
      <c r="I7" s="1" t="s">
        <v>4</v>
      </c>
      <c r="J7" s="1" t="s">
        <v>4</v>
      </c>
      <c r="K7" s="1" t="s">
        <v>4</v>
      </c>
      <c r="L7" s="1" t="s">
        <v>4</v>
      </c>
      <c r="M7" s="1" t="s">
        <v>4</v>
      </c>
      <c r="N7" s="1" t="s">
        <v>4</v>
      </c>
      <c r="O7" s="1" t="s">
        <v>4</v>
      </c>
      <c r="P7" s="1" t="s">
        <v>4</v>
      </c>
      <c r="Q7" s="1" t="s">
        <v>4</v>
      </c>
      <c r="R7" s="1" t="s">
        <v>4</v>
      </c>
      <c r="S7" s="1" t="s">
        <v>4</v>
      </c>
      <c r="T7" s="1" t="s">
        <v>4</v>
      </c>
      <c r="U7" s="1" t="s">
        <v>4</v>
      </c>
      <c r="V7" s="1" t="s">
        <v>4</v>
      </c>
      <c r="W7" s="1" t="s">
        <v>4</v>
      </c>
      <c r="X7" s="1" t="s">
        <v>4</v>
      </c>
      <c r="Y7" s="1" t="s">
        <v>4</v>
      </c>
      <c r="Z7" s="1" t="s">
        <v>4</v>
      </c>
      <c r="AA7" s="1" t="s">
        <v>4</v>
      </c>
      <c r="AB7" s="1" t="s">
        <v>4</v>
      </c>
      <c r="AC7" s="1" t="s">
        <v>4</v>
      </c>
      <c r="AD7" s="1" t="s">
        <v>4</v>
      </c>
      <c r="AE7" s="1">
        <v>4</v>
      </c>
      <c r="AF7" s="1">
        <v>3.5</v>
      </c>
      <c r="AG7" s="1">
        <v>3.5</v>
      </c>
      <c r="AH7" s="7">
        <f>SUM(Augustus[[#This Row],[1]:[31]])</f>
        <v>11</v>
      </c>
    </row>
    <row r="8" spans="2:34" ht="30" customHeight="1" x14ac:dyDescent="0.25">
      <c r="B8" s="20" t="s">
        <v>76</v>
      </c>
      <c r="C8" s="1" t="s">
        <v>4</v>
      </c>
      <c r="D8" s="1" t="s">
        <v>4</v>
      </c>
      <c r="E8" s="1" t="s">
        <v>4</v>
      </c>
      <c r="F8" s="1" t="s">
        <v>4</v>
      </c>
      <c r="G8" s="1" t="s">
        <v>4</v>
      </c>
      <c r="H8" s="1" t="s">
        <v>4</v>
      </c>
      <c r="I8" s="1" t="s">
        <v>4</v>
      </c>
      <c r="J8" s="1" t="s">
        <v>4</v>
      </c>
      <c r="K8" s="1" t="s">
        <v>4</v>
      </c>
      <c r="L8" s="1" t="s">
        <v>4</v>
      </c>
      <c r="M8" s="1" t="s">
        <v>4</v>
      </c>
      <c r="N8" s="1" t="s">
        <v>4</v>
      </c>
      <c r="O8" s="1" t="s">
        <v>4</v>
      </c>
      <c r="P8" s="1" t="s">
        <v>4</v>
      </c>
      <c r="Q8" s="1" t="s">
        <v>4</v>
      </c>
      <c r="R8" s="1" t="s">
        <v>4</v>
      </c>
      <c r="S8" s="1" t="s">
        <v>4</v>
      </c>
      <c r="T8" s="1" t="s">
        <v>4</v>
      </c>
      <c r="U8" s="1" t="s">
        <v>4</v>
      </c>
      <c r="V8" s="1" t="s">
        <v>4</v>
      </c>
      <c r="W8" s="1" t="s">
        <v>4</v>
      </c>
      <c r="X8" s="1" t="s">
        <v>4</v>
      </c>
      <c r="Y8" s="1" t="s">
        <v>4</v>
      </c>
      <c r="Z8" s="1" t="s">
        <v>4</v>
      </c>
      <c r="AA8" s="1" t="s">
        <v>4</v>
      </c>
      <c r="AB8" s="1" t="s">
        <v>4</v>
      </c>
      <c r="AC8" s="1" t="s">
        <v>4</v>
      </c>
      <c r="AD8" s="1" t="s">
        <v>4</v>
      </c>
      <c r="AE8" s="1">
        <v>5</v>
      </c>
      <c r="AF8" s="1">
        <v>5</v>
      </c>
      <c r="AG8" s="1">
        <v>5</v>
      </c>
      <c r="AH8" s="7">
        <f>SUM(Augustus[[#This Row],[1]:[31]])</f>
        <v>15</v>
      </c>
    </row>
    <row r="9" spans="2:34" ht="30" customHeight="1" x14ac:dyDescent="0.25">
      <c r="B9" t="s">
        <v>64</v>
      </c>
      <c r="C9" s="1" t="s">
        <v>4</v>
      </c>
      <c r="D9" s="1" t="s">
        <v>4</v>
      </c>
      <c r="E9" s="1" t="s">
        <v>4</v>
      </c>
      <c r="F9" s="1" t="s">
        <v>4</v>
      </c>
      <c r="G9" s="1" t="s">
        <v>4</v>
      </c>
      <c r="H9" s="1" t="s">
        <v>4</v>
      </c>
      <c r="I9" s="1" t="s">
        <v>4</v>
      </c>
      <c r="J9" s="1" t="s">
        <v>4</v>
      </c>
      <c r="K9" s="1" t="s">
        <v>4</v>
      </c>
      <c r="L9" s="1" t="s">
        <v>4</v>
      </c>
      <c r="M9" s="1" t="s">
        <v>4</v>
      </c>
      <c r="N9" s="1" t="s">
        <v>4</v>
      </c>
      <c r="O9" s="1" t="s">
        <v>4</v>
      </c>
      <c r="P9" s="1" t="s">
        <v>4</v>
      </c>
      <c r="Q9" s="1" t="s">
        <v>4</v>
      </c>
      <c r="R9" s="1" t="s">
        <v>4</v>
      </c>
      <c r="S9" s="1" t="s">
        <v>4</v>
      </c>
      <c r="T9" s="1" t="s">
        <v>4</v>
      </c>
      <c r="U9" s="1" t="s">
        <v>4</v>
      </c>
      <c r="V9" s="1" t="s">
        <v>4</v>
      </c>
      <c r="W9" s="1" t="s">
        <v>4</v>
      </c>
      <c r="X9" s="1" t="s">
        <v>4</v>
      </c>
      <c r="Y9" s="1" t="s">
        <v>4</v>
      </c>
      <c r="Z9" s="1" t="s">
        <v>4</v>
      </c>
      <c r="AA9" s="1" t="s">
        <v>4</v>
      </c>
      <c r="AB9" s="1" t="s">
        <v>4</v>
      </c>
      <c r="AC9" s="1" t="s">
        <v>4</v>
      </c>
      <c r="AD9" s="1" t="s">
        <v>4</v>
      </c>
      <c r="AE9" s="1">
        <v>4</v>
      </c>
      <c r="AF9" s="1">
        <v>4</v>
      </c>
      <c r="AG9" s="1">
        <v>4</v>
      </c>
      <c r="AH9" s="7">
        <f>SUM(Augustus[[#This Row],[1]:[31]])</f>
        <v>12</v>
      </c>
    </row>
    <row r="10" spans="2:34" ht="30" customHeight="1" x14ac:dyDescent="0.25">
      <c r="B10" t="s">
        <v>71</v>
      </c>
      <c r="C10" s="1" t="s">
        <v>4</v>
      </c>
      <c r="D10" s="1" t="s">
        <v>4</v>
      </c>
      <c r="E10" s="1" t="s">
        <v>4</v>
      </c>
      <c r="F10" s="1" t="s">
        <v>4</v>
      </c>
      <c r="G10" s="1" t="s">
        <v>4</v>
      </c>
      <c r="H10" s="1" t="s">
        <v>4</v>
      </c>
      <c r="I10" s="1" t="s">
        <v>4</v>
      </c>
      <c r="J10" s="1" t="s">
        <v>4</v>
      </c>
      <c r="K10" s="1" t="s">
        <v>4</v>
      </c>
      <c r="L10" s="1" t="s">
        <v>4</v>
      </c>
      <c r="M10" s="1" t="s">
        <v>4</v>
      </c>
      <c r="N10" s="1" t="s">
        <v>4</v>
      </c>
      <c r="O10" s="1" t="s">
        <v>4</v>
      </c>
      <c r="P10" s="1" t="s">
        <v>4</v>
      </c>
      <c r="Q10" s="1" t="s">
        <v>4</v>
      </c>
      <c r="R10" s="1" t="s">
        <v>4</v>
      </c>
      <c r="S10" s="1" t="s">
        <v>4</v>
      </c>
      <c r="T10" s="1" t="s">
        <v>4</v>
      </c>
      <c r="U10" s="1" t="s">
        <v>4</v>
      </c>
      <c r="V10" s="1" t="s">
        <v>4</v>
      </c>
      <c r="W10" s="1" t="s">
        <v>4</v>
      </c>
      <c r="X10" s="1" t="s">
        <v>4</v>
      </c>
      <c r="Y10" s="1" t="s">
        <v>4</v>
      </c>
      <c r="Z10" s="1" t="s">
        <v>4</v>
      </c>
      <c r="AA10" s="1" t="s">
        <v>4</v>
      </c>
      <c r="AB10" s="1" t="s">
        <v>4</v>
      </c>
      <c r="AC10" s="1" t="s">
        <v>4</v>
      </c>
      <c r="AD10" s="1" t="s">
        <v>4</v>
      </c>
      <c r="AE10" s="1" t="s">
        <v>4</v>
      </c>
      <c r="AF10" s="1">
        <v>5</v>
      </c>
      <c r="AG10" s="1">
        <v>5</v>
      </c>
      <c r="AH10" s="7">
        <f>SUM(Augustus[[#This Row],[1]:[31]])</f>
        <v>10</v>
      </c>
    </row>
    <row r="11" spans="2:34" ht="30" customHeight="1" x14ac:dyDescent="0.25">
      <c r="B11" t="s">
        <v>70</v>
      </c>
      <c r="C11" s="1" t="s">
        <v>4</v>
      </c>
      <c r="D11" s="1" t="s">
        <v>4</v>
      </c>
      <c r="E11" s="1" t="s">
        <v>4</v>
      </c>
      <c r="F11" s="1" t="s">
        <v>4</v>
      </c>
      <c r="G11" s="1" t="s">
        <v>4</v>
      </c>
      <c r="H11" s="1" t="s">
        <v>4</v>
      </c>
      <c r="I11" s="1" t="s">
        <v>4</v>
      </c>
      <c r="J11" s="1" t="s">
        <v>4</v>
      </c>
      <c r="K11" s="1" t="s">
        <v>4</v>
      </c>
      <c r="L11" s="1" t="s">
        <v>4</v>
      </c>
      <c r="M11" s="1" t="s">
        <v>4</v>
      </c>
      <c r="N11" s="1" t="s">
        <v>4</v>
      </c>
      <c r="O11" s="1" t="s">
        <v>4</v>
      </c>
      <c r="P11" s="1" t="s">
        <v>4</v>
      </c>
      <c r="Q11" s="1" t="s">
        <v>4</v>
      </c>
      <c r="R11" s="1" t="s">
        <v>4</v>
      </c>
      <c r="S11" s="1" t="s">
        <v>4</v>
      </c>
      <c r="T11" s="1" t="s">
        <v>4</v>
      </c>
      <c r="U11" s="1" t="s">
        <v>4</v>
      </c>
      <c r="V11" s="1" t="s">
        <v>4</v>
      </c>
      <c r="W11" s="1" t="s">
        <v>4</v>
      </c>
      <c r="X11" s="1" t="s">
        <v>4</v>
      </c>
      <c r="Y11" s="1" t="s">
        <v>4</v>
      </c>
      <c r="Z11" s="1" t="s">
        <v>4</v>
      </c>
      <c r="AA11" s="1" t="s">
        <v>4</v>
      </c>
      <c r="AB11" s="1" t="s">
        <v>4</v>
      </c>
      <c r="AC11" s="1" t="s">
        <v>4</v>
      </c>
      <c r="AD11" s="1" t="s">
        <v>4</v>
      </c>
      <c r="AE11" s="1">
        <v>5</v>
      </c>
      <c r="AF11" s="1">
        <v>5</v>
      </c>
      <c r="AG11" s="1">
        <v>5</v>
      </c>
      <c r="AH11" s="7">
        <f>SUM(Augustus[[#This Row],[1]:[31]])</f>
        <v>15</v>
      </c>
    </row>
    <row r="12" spans="2:34" ht="30" customHeight="1" x14ac:dyDescent="0.25">
      <c r="B12" s="19" t="s">
        <v>75</v>
      </c>
      <c r="C12" s="1" t="s">
        <v>4</v>
      </c>
      <c r="D12" s="1" t="s">
        <v>4</v>
      </c>
      <c r="E12" s="1" t="s">
        <v>4</v>
      </c>
      <c r="F12" s="1" t="s">
        <v>4</v>
      </c>
      <c r="G12" s="1" t="s">
        <v>4</v>
      </c>
      <c r="H12" s="1" t="s">
        <v>4</v>
      </c>
      <c r="I12" s="1" t="s">
        <v>4</v>
      </c>
      <c r="J12" s="1" t="s">
        <v>4</v>
      </c>
      <c r="K12" s="1" t="s">
        <v>4</v>
      </c>
      <c r="L12" s="1" t="s">
        <v>4</v>
      </c>
      <c r="M12" s="1" t="s">
        <v>4</v>
      </c>
      <c r="N12" s="1" t="s">
        <v>4</v>
      </c>
      <c r="O12" s="1" t="s">
        <v>4</v>
      </c>
      <c r="P12" s="1" t="s">
        <v>4</v>
      </c>
      <c r="Q12" s="1" t="s">
        <v>4</v>
      </c>
      <c r="R12" s="1" t="s">
        <v>4</v>
      </c>
      <c r="S12" s="1" t="s">
        <v>4</v>
      </c>
      <c r="T12" s="1" t="s">
        <v>4</v>
      </c>
      <c r="U12" s="1" t="s">
        <v>4</v>
      </c>
      <c r="V12" s="1" t="s">
        <v>4</v>
      </c>
      <c r="W12" s="1" t="s">
        <v>4</v>
      </c>
      <c r="X12" s="1" t="s">
        <v>4</v>
      </c>
      <c r="Y12" s="1" t="s">
        <v>4</v>
      </c>
      <c r="Z12" s="1" t="s">
        <v>4</v>
      </c>
      <c r="AA12" s="1" t="s">
        <v>4</v>
      </c>
      <c r="AB12" s="1" t="s">
        <v>4</v>
      </c>
      <c r="AC12" s="1" t="s">
        <v>4</v>
      </c>
      <c r="AD12" s="1" t="s">
        <v>4</v>
      </c>
      <c r="AE12" s="1">
        <v>5</v>
      </c>
      <c r="AF12" s="1">
        <v>5</v>
      </c>
      <c r="AG12" s="1">
        <v>5</v>
      </c>
      <c r="AH12" s="7">
        <f>SUM(Augustus[[#This Row],[1]:[31]])</f>
        <v>15</v>
      </c>
    </row>
    <row r="13" spans="2:34" ht="30" customHeight="1" x14ac:dyDescent="0.25">
      <c r="B13" t="s">
        <v>77</v>
      </c>
      <c r="C13" s="1" t="s">
        <v>4</v>
      </c>
      <c r="D13" s="1" t="s">
        <v>4</v>
      </c>
      <c r="E13" s="1" t="s">
        <v>4</v>
      </c>
      <c r="F13" s="1" t="s">
        <v>4</v>
      </c>
      <c r="G13" s="1" t="s">
        <v>4</v>
      </c>
      <c r="H13" s="1" t="s">
        <v>4</v>
      </c>
      <c r="I13" s="1" t="s">
        <v>4</v>
      </c>
      <c r="J13" s="1" t="s">
        <v>4</v>
      </c>
      <c r="K13" s="1" t="s">
        <v>4</v>
      </c>
      <c r="L13" s="1" t="s">
        <v>4</v>
      </c>
      <c r="M13" s="1" t="s">
        <v>4</v>
      </c>
      <c r="N13" s="1" t="s">
        <v>4</v>
      </c>
      <c r="O13" s="1" t="s">
        <v>4</v>
      </c>
      <c r="P13" s="1" t="s">
        <v>4</v>
      </c>
      <c r="Q13" s="1" t="s">
        <v>4</v>
      </c>
      <c r="R13" s="1" t="s">
        <v>4</v>
      </c>
      <c r="S13" s="1" t="s">
        <v>4</v>
      </c>
      <c r="T13" s="1" t="s">
        <v>4</v>
      </c>
      <c r="U13" s="1" t="s">
        <v>4</v>
      </c>
      <c r="V13" s="1" t="s">
        <v>4</v>
      </c>
      <c r="W13" s="1" t="s">
        <v>4</v>
      </c>
      <c r="X13" s="1" t="s">
        <v>4</v>
      </c>
      <c r="Y13" s="1" t="s">
        <v>4</v>
      </c>
      <c r="Z13" s="1" t="s">
        <v>4</v>
      </c>
      <c r="AA13" s="1" t="s">
        <v>4</v>
      </c>
      <c r="AB13" s="1" t="s">
        <v>4</v>
      </c>
      <c r="AC13" s="1" t="s">
        <v>4</v>
      </c>
      <c r="AD13" s="1" t="s">
        <v>4</v>
      </c>
      <c r="AE13" s="1">
        <v>3.5</v>
      </c>
      <c r="AF13" s="1">
        <v>3.5</v>
      </c>
      <c r="AG13" s="1">
        <v>3.5</v>
      </c>
      <c r="AH13" s="7">
        <f>SUM(Augustus[[#This Row],[1]:[31]])</f>
        <v>10.5</v>
      </c>
    </row>
    <row r="14" spans="2:34" ht="30" customHeight="1" x14ac:dyDescent="0.25">
      <c r="B14" s="16" t="str">
        <f>MonthName&amp;" Totaal"</f>
        <v>Augustus Totaal</v>
      </c>
      <c r="C14" s="9">
        <f>SUM(Augustus[1])</f>
        <v>0</v>
      </c>
      <c r="D14" s="9">
        <f>SUM(Augustus[2])</f>
        <v>0</v>
      </c>
      <c r="E14" s="9">
        <f>SUM(Augustus[3])</f>
        <v>0</v>
      </c>
      <c r="F14" s="9">
        <f>SUM(Augustus[4])</f>
        <v>0</v>
      </c>
      <c r="G14" s="9">
        <f>SUM(Augustus[5])</f>
        <v>0</v>
      </c>
      <c r="H14" s="9">
        <f>SUM(Augustus[6])</f>
        <v>0</v>
      </c>
      <c r="I14" s="9">
        <f>SUM(Augustus[7])</f>
        <v>0</v>
      </c>
      <c r="J14" s="9">
        <f>SUM(Augustus[8])</f>
        <v>0</v>
      </c>
      <c r="K14" s="9">
        <f>SUM(Augustus[9])</f>
        <v>0</v>
      </c>
      <c r="L14" s="9">
        <f>SUM(Augustus[10])</f>
        <v>0</v>
      </c>
      <c r="M14" s="9">
        <f>SUM(Augustus[11])</f>
        <v>0</v>
      </c>
      <c r="N14" s="9">
        <f>SUM(Augustus[12])</f>
        <v>0</v>
      </c>
      <c r="O14" s="9">
        <f>SUM(Augustus[13])</f>
        <v>0</v>
      </c>
      <c r="P14" s="9">
        <f>SUM(Augustus[14])</f>
        <v>0</v>
      </c>
      <c r="Q14" s="9">
        <f>SUM(Augustus[15])</f>
        <v>0</v>
      </c>
      <c r="R14" s="9">
        <f>SUM(Augustus[16])</f>
        <v>0</v>
      </c>
      <c r="S14" s="9">
        <f>SUM(Augustus[17])</f>
        <v>0</v>
      </c>
      <c r="T14" s="9">
        <f>SUM(Augustus[18])</f>
        <v>0</v>
      </c>
      <c r="U14" s="9">
        <f>SUM(Augustus[19])</f>
        <v>0</v>
      </c>
      <c r="V14" s="9">
        <f>SUM(Augustus[20])</f>
        <v>0</v>
      </c>
      <c r="W14" s="9">
        <f>SUM(Augustus[21])</f>
        <v>0</v>
      </c>
      <c r="X14" s="9">
        <f>SUM(Augustus[22])</f>
        <v>0</v>
      </c>
      <c r="Y14" s="9">
        <f>SUM(Augustus[23])</f>
        <v>0</v>
      </c>
      <c r="Z14" s="9">
        <f>SUM(Augustus[24])</f>
        <v>0</v>
      </c>
      <c r="AA14" s="9">
        <f>SUM(Augustus[25])</f>
        <v>0</v>
      </c>
      <c r="AB14" s="9">
        <f>SUM(Augustus[26])</f>
        <v>0</v>
      </c>
      <c r="AC14" s="9">
        <f>SUM(Augustus[27])</f>
        <v>0</v>
      </c>
      <c r="AD14" s="9">
        <f>SUM(Augustus[28])</f>
        <v>0</v>
      </c>
      <c r="AE14" s="9">
        <f>SUM(Augustus[29])</f>
        <v>26.5</v>
      </c>
      <c r="AF14" s="9">
        <f>SUM(Augustus[30])</f>
        <v>31</v>
      </c>
      <c r="AG14" s="9">
        <f>SUM(Augustus[31])</f>
        <v>31</v>
      </c>
      <c r="AH14" s="9">
        <f>SUBTOTAL(109,Augustus[Totaal aantal uren])</f>
        <v>88.5</v>
      </c>
    </row>
  </sheetData>
  <mergeCells count="6">
    <mergeCell ref="C4:AG4"/>
    <mergeCell ref="D2:F2"/>
    <mergeCell ref="H2:J2"/>
    <mergeCell ref="L2:M2"/>
    <mergeCell ref="O2:Q2"/>
    <mergeCell ref="S2:U2"/>
  </mergeCells>
  <conditionalFormatting sqref="C7:AG13">
    <cfRule type="expression" priority="19" stopIfTrue="1">
      <formula>C7=""</formula>
    </cfRule>
    <cfRule type="expression" dxfId="237" priority="20" stopIfTrue="1">
      <formula>C7=KeyCustom2</formula>
    </cfRule>
    <cfRule type="expression" dxfId="236" priority="21" stopIfTrue="1">
      <formula>C7=KeyCustom1</formula>
    </cfRule>
    <cfRule type="expression" dxfId="235" priority="22" stopIfTrue="1">
      <formula>C7=KeySick</formula>
    </cfRule>
    <cfRule type="expression" dxfId="234" priority="23" stopIfTrue="1">
      <formula>C7=KeyPersonal</formula>
    </cfRule>
    <cfRule type="expression" dxfId="233" priority="24" stopIfTrue="1">
      <formula>C7=KeyVacation</formula>
    </cfRule>
  </conditionalFormatting>
  <conditionalFormatting sqref="AH7:AH13">
    <cfRule type="dataBar" priority="25">
      <dataBar>
        <cfvo type="num" val="0"/>
        <cfvo type="num" val="31"/>
        <color theme="2" tint="-0.249977111117893"/>
      </dataBar>
      <extLst>
        <ext xmlns:x14="http://schemas.microsoft.com/office/spreadsheetml/2009/9/main" uri="{B025F937-C7B1-47D3-B67F-A62EFF666E3E}">
          <x14:id>{DEE7586A-5B83-404A-A433-78440B97F8D3}</x14:id>
        </ext>
      </extLst>
    </cfRule>
  </conditionalFormatting>
  <dataValidations count="14">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700-000000000000}"/>
    <dataValidation allowBlank="1" showInputMessage="1" showErrorMessage="1" prompt="Automatisch bijgewerkt jaar op basis van het jaar dat in het werkblad januari is ingevoerd" sqref="AH4" xr:uid="{00000000-0002-0000-0700-000001000000}"/>
    <dataValidation allowBlank="1" showInputMessage="1" showErrorMessage="1" prompt="Berekent automatisch het totaal aantal dagen die een werknemer in deze maand niet aanwezig was in deze kolom" sqref="AH6" xr:uid="{00000000-0002-0000-0700-000002000000}"/>
    <dataValidation allowBlank="1" showInputMessage="1" showErrorMessage="1" prompt="Houd de afwezigheid in augustus in dit werkblad bij" sqref="A1" xr:uid="{00000000-0002-0000-0700-000003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700-000004000000}"/>
    <dataValidation allowBlank="1" showInputMessage="1" showErrorMessage="1" prompt="De titel wordt automatisch bijgewerkt in deze cel. Als u de titel wilt wijzigen, werk B1 in het januari-werkblad bij" sqref="B1" xr:uid="{00000000-0002-0000-0700-000005000000}"/>
    <dataValidation allowBlank="1" showInputMessage="1" showErrorMessage="1" prompt="De letter &quot;V&quot; geeft afwezigheid vanwege vakantie aan" sqref="C2" xr:uid="{00000000-0002-0000-0700-000006000000}"/>
    <dataValidation allowBlank="1" showInputMessage="1" showErrorMessage="1" prompt="De letter &quot;P&quot; geeft afwezigheid vanwege persoonlijke redenen aan" sqref="G2" xr:uid="{00000000-0002-0000-0700-000007000000}"/>
    <dataValidation allowBlank="1" showInputMessage="1" showErrorMessage="1" prompt="De letter &quot;Z&quot; geeft afwezigheid vanwege ziekte aan" sqref="K2" xr:uid="{00000000-0002-0000-0700-000008000000}"/>
    <dataValidation allowBlank="1" showInputMessage="1" showErrorMessage="1" prompt="Voer een letter in en pas rechts het label aan om een ander sleutelitem toe te voegen" sqref="N2 R2" xr:uid="{00000000-0002-0000-0700-000009000000}"/>
    <dataValidation allowBlank="1" showInputMessage="1" showErrorMessage="1" prompt="Voer links een label in om de aangepaste sleutel te beschrijven" sqref="O2:Q2 S2:U2" xr:uid="{00000000-0002-0000-0700-00000A000000}"/>
    <dataValidation allowBlank="1" showInputMessage="1" showErrorMessage="1" prompt="Deze rij definieert de sleutels die worden gebruikt in de tabel: cel C2 is Vakantie, G2 is Persoonlijk en K2 is Ziekteverlof. De cellen N2 en R2 kunnen worden aangepast" sqref="B2" xr:uid="{00000000-0002-0000-0700-00000B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7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7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EE7586A-5B83-404A-A433-78440B97F8D3}">
            <x14:dataBar minLength="0" maxLength="100">
              <x14:cfvo type="num">
                <xm:f>0</xm:f>
              </x14:cfvo>
              <x14:cfvo type="num">
                <xm:f>31</xm:f>
              </x14:cfvo>
              <x14:negativeFillColor rgb="FFFF0000"/>
              <x14:axisColor rgb="FF000000"/>
            </x14:dataBar>
          </x14:cfRule>
          <xm:sqref>AH7:AH13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tabColor theme="2" tint="-0.499984740745262"/>
    <pageSetUpPr fitToPage="1"/>
  </sheetPr>
  <dimension ref="B1:AH16"/>
  <sheetViews>
    <sheetView showGridLines="0" zoomScaleNormal="100" workbookViewId="0">
      <selection activeCell="AD15" sqref="AD15"/>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53</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TEXT(WEEKDAY(DATE(CalendarYear,9,1),1),"aaa")</f>
        <v>ma</v>
      </c>
      <c r="D5" s="1" t="str">
        <f>TEXT(WEEKDAY(DATE(CalendarYear,9,2),1),"aaa")</f>
        <v>di</v>
      </c>
      <c r="E5" s="1" t="str">
        <f>TEXT(WEEKDAY(DATE(CalendarYear,9,3),1),"aaa")</f>
        <v>wo</v>
      </c>
      <c r="F5" s="1" t="str">
        <f>TEXT(WEEKDAY(DATE(CalendarYear,9,4),1),"aaa")</f>
        <v>do</v>
      </c>
      <c r="G5" s="1" t="str">
        <f>TEXT(WEEKDAY(DATE(CalendarYear,9,5),1),"aaa")</f>
        <v>vr</v>
      </c>
      <c r="H5" s="1" t="str">
        <f>TEXT(WEEKDAY(DATE(CalendarYear,9,6),1),"aaa")</f>
        <v>za</v>
      </c>
      <c r="I5" s="1" t="str">
        <f>TEXT(WEEKDAY(DATE(CalendarYear,9,7),1),"aaa")</f>
        <v>zo</v>
      </c>
      <c r="J5" s="1" t="str">
        <f>TEXT(WEEKDAY(DATE(CalendarYear,9,8),1),"aaa")</f>
        <v>ma</v>
      </c>
      <c r="K5" s="1" t="str">
        <f>TEXT(WEEKDAY(DATE(CalendarYear,9,9),1),"aaa")</f>
        <v>di</v>
      </c>
      <c r="L5" s="1" t="str">
        <f>TEXT(WEEKDAY(DATE(CalendarYear,9,10),1),"aaa")</f>
        <v>wo</v>
      </c>
      <c r="M5" s="1" t="str">
        <f>TEXT(WEEKDAY(DATE(CalendarYear,9,11),1),"aaa")</f>
        <v>do</v>
      </c>
      <c r="N5" s="1" t="str">
        <f>TEXT(WEEKDAY(DATE(CalendarYear,9,12),1),"aaa")</f>
        <v>vr</v>
      </c>
      <c r="O5" s="1" t="str">
        <f>TEXT(WEEKDAY(DATE(CalendarYear,9,13),1),"aaa")</f>
        <v>za</v>
      </c>
      <c r="P5" s="1" t="str">
        <f>TEXT(WEEKDAY(DATE(CalendarYear,9,14),1),"aaa")</f>
        <v>zo</v>
      </c>
      <c r="Q5" s="1" t="str">
        <f>TEXT(WEEKDAY(DATE(CalendarYear,9,15),1),"aaa")</f>
        <v>ma</v>
      </c>
      <c r="R5" s="1" t="str">
        <f>TEXT(WEEKDAY(DATE(CalendarYear,9,16),1),"aaa")</f>
        <v>di</v>
      </c>
      <c r="S5" s="1" t="str">
        <f>TEXT(WEEKDAY(DATE(CalendarYear,9,17),1),"aaa")</f>
        <v>wo</v>
      </c>
      <c r="T5" s="1" t="str">
        <f>TEXT(WEEKDAY(DATE(CalendarYear,9,18),1),"aaa")</f>
        <v>do</v>
      </c>
      <c r="U5" s="1" t="str">
        <f>TEXT(WEEKDAY(DATE(CalendarYear,9,19),1),"aaa")</f>
        <v>vr</v>
      </c>
      <c r="V5" s="1" t="str">
        <f>TEXT(WEEKDAY(DATE(CalendarYear,9,20),1),"aaa")</f>
        <v>za</v>
      </c>
      <c r="W5" s="1" t="str">
        <f>TEXT(WEEKDAY(DATE(CalendarYear,9,21),1),"aaa")</f>
        <v>zo</v>
      </c>
      <c r="X5" s="1" t="str">
        <f>TEXT(WEEKDAY(DATE(CalendarYear,9,22),1),"aaa")</f>
        <v>ma</v>
      </c>
      <c r="Y5" s="1" t="str">
        <f>TEXT(WEEKDAY(DATE(CalendarYear,9,23),1),"aaa")</f>
        <v>di</v>
      </c>
      <c r="Z5" s="1" t="str">
        <f>TEXT(WEEKDAY(DATE(CalendarYear,9,24),1),"aaa")</f>
        <v>wo</v>
      </c>
      <c r="AA5" s="1" t="str">
        <f>TEXT(WEEKDAY(DATE(CalendarYear,9,25),1),"aaa")</f>
        <v>do</v>
      </c>
      <c r="AB5" s="1" t="str">
        <f>TEXT(WEEKDAY(DATE(CalendarYear,9,26),1),"aaa")</f>
        <v>vr</v>
      </c>
      <c r="AC5" s="1" t="str">
        <f>TEXT(WEEKDAY(DATE(CalendarYear,9,27),1),"aaa")</f>
        <v>za</v>
      </c>
      <c r="AD5" s="1" t="str">
        <f>TEXT(WEEKDAY(DATE(CalendarYear,9,28),1),"aaa")</f>
        <v>zo</v>
      </c>
      <c r="AE5" s="1" t="str">
        <f>TEXT(WEEKDAY(DATE(CalendarYear,9,29),1),"aaa")</f>
        <v>ma</v>
      </c>
      <c r="AF5" s="1" t="str">
        <f>TEXT(WEEKDAY(DATE(CalendarYear,9,30),1),"aaa")</f>
        <v>di</v>
      </c>
      <c r="AG5" s="1"/>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46</v>
      </c>
      <c r="AH6" s="12" t="s">
        <v>68</v>
      </c>
    </row>
    <row r="7" spans="2:34" ht="30" customHeight="1" x14ac:dyDescent="0.25">
      <c r="B7" t="s">
        <v>65</v>
      </c>
      <c r="C7" s="1" t="s">
        <v>4</v>
      </c>
      <c r="D7" s="1" t="s">
        <v>67</v>
      </c>
      <c r="E7" s="1" t="s">
        <v>67</v>
      </c>
      <c r="F7" s="1" t="s">
        <v>67</v>
      </c>
      <c r="G7" s="1">
        <v>3.5</v>
      </c>
      <c r="H7" s="1">
        <v>3.5</v>
      </c>
      <c r="I7" s="1">
        <v>3.5</v>
      </c>
      <c r="J7" s="1" t="s">
        <v>4</v>
      </c>
      <c r="K7" s="1" t="s">
        <v>67</v>
      </c>
      <c r="L7" s="1" t="s">
        <v>67</v>
      </c>
      <c r="M7" s="1" t="s">
        <v>67</v>
      </c>
      <c r="N7" s="1">
        <v>3.5</v>
      </c>
      <c r="O7" s="1">
        <v>3</v>
      </c>
      <c r="P7" s="1">
        <v>3.5</v>
      </c>
      <c r="Q7" s="1" t="s">
        <v>4</v>
      </c>
      <c r="R7" s="1" t="s">
        <v>67</v>
      </c>
      <c r="S7" s="1" t="s">
        <v>67</v>
      </c>
      <c r="T7" s="1" t="s">
        <v>67</v>
      </c>
      <c r="U7" s="1">
        <v>3.5</v>
      </c>
      <c r="V7" s="1">
        <v>3.5</v>
      </c>
      <c r="W7" s="1">
        <v>3.5</v>
      </c>
      <c r="X7" s="1" t="s">
        <v>4</v>
      </c>
      <c r="Y7" s="1" t="s">
        <v>67</v>
      </c>
      <c r="Z7" s="1" t="s">
        <v>67</v>
      </c>
      <c r="AA7" s="1" t="s">
        <v>67</v>
      </c>
      <c r="AB7" s="1">
        <v>3.5</v>
      </c>
      <c r="AC7" s="1">
        <v>3.5</v>
      </c>
      <c r="AD7" s="1">
        <v>3.5</v>
      </c>
      <c r="AE7" s="1" t="s">
        <v>4</v>
      </c>
      <c r="AF7" s="1" t="s">
        <v>67</v>
      </c>
      <c r="AG7" s="1"/>
      <c r="AH7" s="7">
        <f>SUM(September[[#This Row],[1]:[30]])</f>
        <v>41.5</v>
      </c>
    </row>
    <row r="8" spans="2:34" ht="30" customHeight="1" x14ac:dyDescent="0.25">
      <c r="B8" t="s">
        <v>61</v>
      </c>
      <c r="C8" s="1" t="s">
        <v>4</v>
      </c>
      <c r="D8" s="1" t="s">
        <v>67</v>
      </c>
      <c r="E8" s="1" t="s">
        <v>67</v>
      </c>
      <c r="F8" s="1" t="s">
        <v>67</v>
      </c>
      <c r="G8" s="1" t="s">
        <v>67</v>
      </c>
      <c r="H8" s="1">
        <v>5</v>
      </c>
      <c r="I8" s="1">
        <v>5</v>
      </c>
      <c r="J8" s="1" t="s">
        <v>4</v>
      </c>
      <c r="K8" s="1" t="s">
        <v>67</v>
      </c>
      <c r="L8" s="1" t="s">
        <v>67</v>
      </c>
      <c r="M8" s="1" t="s">
        <v>67</v>
      </c>
      <c r="N8" s="1" t="s">
        <v>67</v>
      </c>
      <c r="O8" s="1">
        <v>5</v>
      </c>
      <c r="P8" s="1">
        <v>5</v>
      </c>
      <c r="Q8" s="1" t="s">
        <v>4</v>
      </c>
      <c r="R8" s="1" t="s">
        <v>67</v>
      </c>
      <c r="S8" s="1" t="s">
        <v>67</v>
      </c>
      <c r="T8" s="1" t="s">
        <v>67</v>
      </c>
      <c r="U8" s="1" t="s">
        <v>67</v>
      </c>
      <c r="V8" s="1" t="s">
        <v>67</v>
      </c>
      <c r="W8" s="1" t="s">
        <v>67</v>
      </c>
      <c r="X8" s="1" t="s">
        <v>4</v>
      </c>
      <c r="Y8" s="1" t="s">
        <v>67</v>
      </c>
      <c r="Z8" s="1" t="s">
        <v>67</v>
      </c>
      <c r="AA8" s="1" t="s">
        <v>67</v>
      </c>
      <c r="AB8" s="1" t="s">
        <v>67</v>
      </c>
      <c r="AC8" s="1" t="s">
        <v>67</v>
      </c>
      <c r="AD8" s="1" t="s">
        <v>67</v>
      </c>
      <c r="AE8" s="1" t="s">
        <v>4</v>
      </c>
      <c r="AF8" s="1" t="s">
        <v>67</v>
      </c>
      <c r="AG8" s="1"/>
      <c r="AH8" s="7">
        <f>SUM(September[[#This Row],[1]:[30]])</f>
        <v>20</v>
      </c>
    </row>
    <row r="9" spans="2:34" ht="30" customHeight="1" x14ac:dyDescent="0.25">
      <c r="B9" s="19" t="s">
        <v>79</v>
      </c>
      <c r="C9" s="1" t="s">
        <v>4</v>
      </c>
      <c r="D9" s="1" t="s">
        <v>67</v>
      </c>
      <c r="E9" s="1" t="s">
        <v>67</v>
      </c>
      <c r="F9" s="1" t="s">
        <v>67</v>
      </c>
      <c r="G9" s="1">
        <v>3.5</v>
      </c>
      <c r="H9" s="1">
        <v>3.5</v>
      </c>
      <c r="I9" s="1">
        <v>3.5</v>
      </c>
      <c r="J9" s="1" t="s">
        <v>4</v>
      </c>
      <c r="K9" s="1" t="s">
        <v>67</v>
      </c>
      <c r="L9" s="1" t="s">
        <v>67</v>
      </c>
      <c r="M9" s="1" t="s">
        <v>67</v>
      </c>
      <c r="N9" s="1">
        <v>3.5</v>
      </c>
      <c r="O9" s="1">
        <v>3.5</v>
      </c>
      <c r="P9" s="1">
        <v>3.5</v>
      </c>
      <c r="Q9" s="1" t="s">
        <v>4</v>
      </c>
      <c r="R9" s="1" t="s">
        <v>67</v>
      </c>
      <c r="S9" s="1" t="s">
        <v>67</v>
      </c>
      <c r="T9" s="1" t="s">
        <v>67</v>
      </c>
      <c r="U9" s="1">
        <v>3.5</v>
      </c>
      <c r="V9" s="1">
        <v>3.5</v>
      </c>
      <c r="W9" s="1">
        <v>3.5</v>
      </c>
      <c r="X9" s="1" t="s">
        <v>4</v>
      </c>
      <c r="Y9" s="1" t="s">
        <v>67</v>
      </c>
      <c r="Z9" s="1" t="s">
        <v>67</v>
      </c>
      <c r="AA9" s="1" t="s">
        <v>67</v>
      </c>
      <c r="AB9" s="1">
        <v>3.5</v>
      </c>
      <c r="AC9" s="1">
        <v>3.5</v>
      </c>
      <c r="AD9" s="1">
        <v>3.5</v>
      </c>
      <c r="AE9" s="1" t="s">
        <v>4</v>
      </c>
      <c r="AF9" s="1" t="s">
        <v>67</v>
      </c>
      <c r="AG9" s="1"/>
      <c r="AH9" s="7">
        <f>SUM(September[[#This Row],[1]:[30]])</f>
        <v>42</v>
      </c>
    </row>
    <row r="10" spans="2:34" ht="30" customHeight="1" x14ac:dyDescent="0.25">
      <c r="B10" s="20" t="s">
        <v>76</v>
      </c>
      <c r="C10" s="1" t="s">
        <v>4</v>
      </c>
      <c r="D10" s="1" t="s">
        <v>67</v>
      </c>
      <c r="E10" s="1" t="s">
        <v>67</v>
      </c>
      <c r="F10" s="1" t="s">
        <v>67</v>
      </c>
      <c r="G10" s="1">
        <v>5</v>
      </c>
      <c r="H10" s="1">
        <v>5</v>
      </c>
      <c r="I10" s="1">
        <v>5</v>
      </c>
      <c r="J10" s="1" t="s">
        <v>4</v>
      </c>
      <c r="K10" s="1" t="s">
        <v>67</v>
      </c>
      <c r="L10" s="1" t="s">
        <v>67</v>
      </c>
      <c r="M10" s="1" t="s">
        <v>67</v>
      </c>
      <c r="N10" s="1">
        <v>5</v>
      </c>
      <c r="O10" s="1">
        <v>5</v>
      </c>
      <c r="P10" s="1">
        <v>5</v>
      </c>
      <c r="Q10" s="1" t="s">
        <v>4</v>
      </c>
      <c r="R10" s="1" t="s">
        <v>67</v>
      </c>
      <c r="S10" s="1" t="s">
        <v>67</v>
      </c>
      <c r="T10" s="1" t="s">
        <v>67</v>
      </c>
      <c r="U10" s="1">
        <v>5</v>
      </c>
      <c r="V10" s="1">
        <v>5</v>
      </c>
      <c r="W10" s="1">
        <v>5</v>
      </c>
      <c r="X10" s="1" t="s">
        <v>4</v>
      </c>
      <c r="Y10" s="1" t="s">
        <v>67</v>
      </c>
      <c r="Z10" s="1" t="s">
        <v>67</v>
      </c>
      <c r="AA10" s="1" t="s">
        <v>67</v>
      </c>
      <c r="AB10" s="1">
        <v>5</v>
      </c>
      <c r="AC10" s="1">
        <v>5</v>
      </c>
      <c r="AD10" s="1">
        <v>5</v>
      </c>
      <c r="AE10" s="1" t="s">
        <v>4</v>
      </c>
      <c r="AF10" s="1" t="s">
        <v>67</v>
      </c>
      <c r="AG10" s="1"/>
      <c r="AH10" s="7">
        <f>SUM(September[[#This Row],[1]:[30]])</f>
        <v>60</v>
      </c>
    </row>
    <row r="11" spans="2:34" ht="30" customHeight="1" x14ac:dyDescent="0.25">
      <c r="B11" t="s">
        <v>64</v>
      </c>
      <c r="C11" s="1" t="s">
        <v>4</v>
      </c>
      <c r="D11" s="1" t="s">
        <v>67</v>
      </c>
      <c r="E11" s="1" t="s">
        <v>67</v>
      </c>
      <c r="F11" s="1" t="s">
        <v>67</v>
      </c>
      <c r="G11" s="1" t="s">
        <v>67</v>
      </c>
      <c r="H11" s="1">
        <v>4</v>
      </c>
      <c r="I11" s="1">
        <v>4</v>
      </c>
      <c r="J11" s="1" t="s">
        <v>4</v>
      </c>
      <c r="K11" s="1" t="s">
        <v>67</v>
      </c>
      <c r="L11" s="1">
        <v>4</v>
      </c>
      <c r="M11" s="1">
        <v>4</v>
      </c>
      <c r="N11" s="1">
        <v>4</v>
      </c>
      <c r="O11" s="1">
        <v>4</v>
      </c>
      <c r="P11" s="1">
        <v>4</v>
      </c>
      <c r="Q11" s="1" t="s">
        <v>4</v>
      </c>
      <c r="R11" s="1" t="s">
        <v>67</v>
      </c>
      <c r="S11" s="1" t="s">
        <v>67</v>
      </c>
      <c r="T11" s="1" t="s">
        <v>67</v>
      </c>
      <c r="U11" s="1" t="s">
        <v>67</v>
      </c>
      <c r="V11" s="1">
        <v>4</v>
      </c>
      <c r="W11" s="1">
        <v>4</v>
      </c>
      <c r="X11" s="1" t="s">
        <v>4</v>
      </c>
      <c r="Y11" s="1" t="s">
        <v>67</v>
      </c>
      <c r="Z11" s="1">
        <v>4</v>
      </c>
      <c r="AA11" s="1">
        <v>4</v>
      </c>
      <c r="AB11" s="1">
        <v>4</v>
      </c>
      <c r="AC11" s="1">
        <v>4</v>
      </c>
      <c r="AD11" s="1">
        <v>4</v>
      </c>
      <c r="AE11" s="1" t="s">
        <v>4</v>
      </c>
      <c r="AF11" s="1" t="s">
        <v>67</v>
      </c>
      <c r="AG11" s="1"/>
      <c r="AH11" s="7">
        <f>SUM(September[[#This Row],[1]:[30]])</f>
        <v>56</v>
      </c>
    </row>
    <row r="12" spans="2:34" ht="30" customHeight="1" x14ac:dyDescent="0.25">
      <c r="B12" t="s">
        <v>71</v>
      </c>
      <c r="C12" s="1" t="s">
        <v>4</v>
      </c>
      <c r="D12" s="1" t="s">
        <v>67</v>
      </c>
      <c r="E12" s="1" t="s">
        <v>67</v>
      </c>
      <c r="F12" s="1" t="s">
        <v>67</v>
      </c>
      <c r="G12" s="1">
        <v>5</v>
      </c>
      <c r="H12" s="1">
        <v>5</v>
      </c>
      <c r="I12" s="1">
        <v>5</v>
      </c>
      <c r="J12" s="1" t="s">
        <v>4</v>
      </c>
      <c r="K12" s="1" t="s">
        <v>67</v>
      </c>
      <c r="L12" s="1" t="s">
        <v>67</v>
      </c>
      <c r="M12" s="1" t="s">
        <v>67</v>
      </c>
      <c r="N12" s="1">
        <v>5</v>
      </c>
      <c r="O12" s="1">
        <v>5</v>
      </c>
      <c r="P12" s="1">
        <v>5</v>
      </c>
      <c r="Q12" s="1" t="s">
        <v>4</v>
      </c>
      <c r="R12" s="1" t="s">
        <v>67</v>
      </c>
      <c r="S12" s="1" t="s">
        <v>67</v>
      </c>
      <c r="T12" s="1" t="s">
        <v>67</v>
      </c>
      <c r="U12" s="1">
        <v>5</v>
      </c>
      <c r="V12" s="1">
        <v>5</v>
      </c>
      <c r="W12" s="1">
        <v>5</v>
      </c>
      <c r="X12" s="1" t="s">
        <v>4</v>
      </c>
      <c r="Y12" s="1" t="s">
        <v>67</v>
      </c>
      <c r="Z12" s="1" t="s">
        <v>67</v>
      </c>
      <c r="AA12" s="1" t="s">
        <v>67</v>
      </c>
      <c r="AB12" s="1">
        <v>5</v>
      </c>
      <c r="AC12" s="1">
        <v>5</v>
      </c>
      <c r="AD12" s="1">
        <v>5</v>
      </c>
      <c r="AE12" s="1" t="s">
        <v>4</v>
      </c>
      <c r="AF12" s="1" t="s">
        <v>67</v>
      </c>
      <c r="AG12" s="1"/>
      <c r="AH12" s="7">
        <f>SUM(September[[#This Row],[1]:[30]])</f>
        <v>60</v>
      </c>
    </row>
    <row r="13" spans="2:34" ht="30" customHeight="1" x14ac:dyDescent="0.25">
      <c r="B13" t="s">
        <v>70</v>
      </c>
      <c r="C13" s="1" t="s">
        <v>4</v>
      </c>
      <c r="D13" s="1" t="s">
        <v>67</v>
      </c>
      <c r="E13" s="1" t="s">
        <v>67</v>
      </c>
      <c r="F13" s="1">
        <v>5</v>
      </c>
      <c r="G13" s="1">
        <v>5</v>
      </c>
      <c r="H13" s="1">
        <v>5</v>
      </c>
      <c r="I13" s="1">
        <v>5</v>
      </c>
      <c r="J13" s="1" t="s">
        <v>4</v>
      </c>
      <c r="K13" s="1" t="s">
        <v>67</v>
      </c>
      <c r="L13" s="1" t="s">
        <v>67</v>
      </c>
      <c r="M13" s="1">
        <v>5</v>
      </c>
      <c r="N13" s="1">
        <v>5</v>
      </c>
      <c r="O13" s="1">
        <v>5</v>
      </c>
      <c r="P13" s="1">
        <v>5</v>
      </c>
      <c r="Q13" s="1" t="s">
        <v>4</v>
      </c>
      <c r="R13" s="1" t="s">
        <v>67</v>
      </c>
      <c r="S13" s="1" t="s">
        <v>67</v>
      </c>
      <c r="T13" s="1">
        <v>5</v>
      </c>
      <c r="U13" s="1">
        <v>5</v>
      </c>
      <c r="V13" s="1">
        <v>5</v>
      </c>
      <c r="W13" s="1">
        <v>5</v>
      </c>
      <c r="X13" s="1" t="s">
        <v>4</v>
      </c>
      <c r="Y13" s="1" t="s">
        <v>67</v>
      </c>
      <c r="Z13" s="1" t="s">
        <v>67</v>
      </c>
      <c r="AA13" s="1" t="s">
        <v>67</v>
      </c>
      <c r="AB13" s="1">
        <v>5</v>
      </c>
      <c r="AC13" s="1">
        <v>5</v>
      </c>
      <c r="AD13" s="1">
        <v>5</v>
      </c>
      <c r="AE13" s="1" t="s">
        <v>4</v>
      </c>
      <c r="AF13" s="1" t="s">
        <v>67</v>
      </c>
      <c r="AG13" s="1"/>
      <c r="AH13" s="7">
        <f>SUM(September[[#This Row],[1]:[30]])</f>
        <v>75</v>
      </c>
    </row>
    <row r="14" spans="2:34" ht="30" customHeight="1" x14ac:dyDescent="0.25">
      <c r="B14" t="s">
        <v>62</v>
      </c>
      <c r="C14" s="1" t="s">
        <v>4</v>
      </c>
      <c r="D14" s="1" t="s">
        <v>67</v>
      </c>
      <c r="E14" s="1" t="s">
        <v>67</v>
      </c>
      <c r="F14" s="1" t="s">
        <v>67</v>
      </c>
      <c r="G14" s="1" t="s">
        <v>67</v>
      </c>
      <c r="H14" s="1">
        <v>3.5</v>
      </c>
      <c r="I14" s="1">
        <v>3.5</v>
      </c>
      <c r="J14" s="1" t="s">
        <v>4</v>
      </c>
      <c r="K14" s="1" t="s">
        <v>67</v>
      </c>
      <c r="L14" s="1" t="s">
        <v>67</v>
      </c>
      <c r="M14" s="1" t="s">
        <v>67</v>
      </c>
      <c r="N14" s="1" t="s">
        <v>67</v>
      </c>
      <c r="O14" s="1">
        <v>3.5</v>
      </c>
      <c r="P14" s="1">
        <v>3.5</v>
      </c>
      <c r="Q14" s="1" t="s">
        <v>4</v>
      </c>
      <c r="R14" s="1" t="s">
        <v>67</v>
      </c>
      <c r="S14" s="1" t="s">
        <v>67</v>
      </c>
      <c r="T14" s="1" t="s">
        <v>67</v>
      </c>
      <c r="U14" s="1" t="s">
        <v>67</v>
      </c>
      <c r="V14" s="1">
        <v>3.5</v>
      </c>
      <c r="W14" s="1">
        <v>3.5</v>
      </c>
      <c r="X14" s="1" t="s">
        <v>4</v>
      </c>
      <c r="Y14" s="1" t="s">
        <v>67</v>
      </c>
      <c r="Z14" s="1" t="s">
        <v>67</v>
      </c>
      <c r="AA14" s="1" t="s">
        <v>67</v>
      </c>
      <c r="AB14" s="1" t="s">
        <v>67</v>
      </c>
      <c r="AC14" s="1">
        <v>3.5</v>
      </c>
      <c r="AD14" s="1">
        <v>3.5</v>
      </c>
      <c r="AE14" s="1" t="s">
        <v>4</v>
      </c>
      <c r="AF14" s="1" t="s">
        <v>67</v>
      </c>
      <c r="AG14" s="1"/>
      <c r="AH14" s="7">
        <f>SUM(September[[#This Row],[1]:[30]])</f>
        <v>28</v>
      </c>
    </row>
    <row r="15" spans="2:34" ht="30" customHeight="1" x14ac:dyDescent="0.25">
      <c r="B15" s="19" t="s">
        <v>75</v>
      </c>
      <c r="C15" s="1" t="s">
        <v>4</v>
      </c>
      <c r="D15" s="1" t="s">
        <v>67</v>
      </c>
      <c r="E15" s="1" t="s">
        <v>67</v>
      </c>
      <c r="F15" s="1" t="s">
        <v>67</v>
      </c>
      <c r="G15" s="1">
        <v>5</v>
      </c>
      <c r="H15" s="1">
        <v>5</v>
      </c>
      <c r="I15" s="1">
        <v>5</v>
      </c>
      <c r="J15" s="1" t="s">
        <v>4</v>
      </c>
      <c r="K15" s="1" t="s">
        <v>67</v>
      </c>
      <c r="L15" s="1" t="s">
        <v>67</v>
      </c>
      <c r="M15" s="1" t="s">
        <v>67</v>
      </c>
      <c r="N15" s="1">
        <v>5</v>
      </c>
      <c r="O15" s="1">
        <v>5</v>
      </c>
      <c r="P15" s="1">
        <v>5</v>
      </c>
      <c r="Q15" s="1" t="s">
        <v>4</v>
      </c>
      <c r="R15" s="1" t="s">
        <v>67</v>
      </c>
      <c r="S15" s="1" t="s">
        <v>67</v>
      </c>
      <c r="T15" s="1" t="s">
        <v>67</v>
      </c>
      <c r="U15" s="1">
        <v>5</v>
      </c>
      <c r="V15" s="1">
        <v>5</v>
      </c>
      <c r="W15" s="1">
        <v>5</v>
      </c>
      <c r="X15" s="1" t="s">
        <v>4</v>
      </c>
      <c r="Y15" s="1" t="s">
        <v>67</v>
      </c>
      <c r="Z15" s="1" t="s">
        <v>67</v>
      </c>
      <c r="AA15" s="1" t="s">
        <v>67</v>
      </c>
      <c r="AB15" s="1">
        <v>5</v>
      </c>
      <c r="AC15" s="1">
        <v>5</v>
      </c>
      <c r="AD15" s="1">
        <v>5</v>
      </c>
      <c r="AE15" s="1" t="s">
        <v>4</v>
      </c>
      <c r="AF15" s="1" t="s">
        <v>67</v>
      </c>
      <c r="AG15" s="1"/>
      <c r="AH15" s="7">
        <f>SUM(September[[#This Row],[1]:[30]])</f>
        <v>60</v>
      </c>
    </row>
    <row r="16" spans="2:34" ht="30" customHeight="1" x14ac:dyDescent="0.25">
      <c r="B16" s="16" t="str">
        <f>MonthName&amp;" Totaal"</f>
        <v>september Totaal</v>
      </c>
      <c r="C16" s="9">
        <f>SUM(September[1])</f>
        <v>0</v>
      </c>
      <c r="D16" s="9">
        <f>SUM(September[2])</f>
        <v>0</v>
      </c>
      <c r="E16" s="9">
        <f>SUM(September[3])</f>
        <v>0</v>
      </c>
      <c r="F16" s="9">
        <f>SUM(September[4])</f>
        <v>5</v>
      </c>
      <c r="G16" s="9">
        <f>SUM(September[5])</f>
        <v>27</v>
      </c>
      <c r="H16" s="9">
        <f>SUM(September[6])</f>
        <v>39.5</v>
      </c>
      <c r="I16" s="9">
        <f>SUM(September[7])</f>
        <v>39.5</v>
      </c>
      <c r="J16" s="9">
        <f>SUM(September[8])</f>
        <v>0</v>
      </c>
      <c r="K16" s="9">
        <f>SUM(September[9])</f>
        <v>0</v>
      </c>
      <c r="L16" s="9">
        <f>SUM(September[10])</f>
        <v>4</v>
      </c>
      <c r="M16" s="9">
        <f>SUM(September[11])</f>
        <v>9</v>
      </c>
      <c r="N16" s="9">
        <f>SUM(September[12])</f>
        <v>31</v>
      </c>
      <c r="O16" s="9">
        <f>SUM(September[13])</f>
        <v>39</v>
      </c>
      <c r="P16" s="9">
        <f>SUM(September[14])</f>
        <v>39.5</v>
      </c>
      <c r="Q16" s="9">
        <f>SUM(September[15])</f>
        <v>0</v>
      </c>
      <c r="R16" s="9">
        <f>SUM(September[16])</f>
        <v>0</v>
      </c>
      <c r="S16" s="9">
        <f>SUM(September[17])</f>
        <v>0</v>
      </c>
      <c r="T16" s="9">
        <f>SUM(September[18])</f>
        <v>5</v>
      </c>
      <c r="U16" s="9">
        <f>SUM(September[19])</f>
        <v>27</v>
      </c>
      <c r="V16" s="9">
        <f>SUM(September[20])</f>
        <v>34.5</v>
      </c>
      <c r="W16" s="9">
        <f>SUM(September[21])</f>
        <v>34.5</v>
      </c>
      <c r="X16" s="9">
        <f>SUM(September[22])</f>
        <v>0</v>
      </c>
      <c r="Y16" s="9">
        <f>SUM(September[23])</f>
        <v>0</v>
      </c>
      <c r="Z16" s="9">
        <f>SUM(September[24])</f>
        <v>4</v>
      </c>
      <c r="AA16" s="9">
        <f>SUM(September[25])</f>
        <v>4</v>
      </c>
      <c r="AB16" s="9">
        <f>SUM(September[26])</f>
        <v>31</v>
      </c>
      <c r="AC16" s="9">
        <f>SUM(September[27])</f>
        <v>34.5</v>
      </c>
      <c r="AD16" s="9">
        <f>SUM(September[28])</f>
        <v>34.5</v>
      </c>
      <c r="AE16" s="9">
        <f>SUM(September[29])</f>
        <v>0</v>
      </c>
      <c r="AF16" s="9">
        <f>SUM(September[30])</f>
        <v>0</v>
      </c>
      <c r="AG16" s="9">
        <f>SUM(September[[ ]])</f>
        <v>0</v>
      </c>
      <c r="AH16" s="9">
        <f>SUBTOTAL(109,September[Totaal aantal uren])</f>
        <v>442.5</v>
      </c>
    </row>
  </sheetData>
  <mergeCells count="6">
    <mergeCell ref="C4:AG4"/>
    <mergeCell ref="D2:F2"/>
    <mergeCell ref="H2:J2"/>
    <mergeCell ref="L2:M2"/>
    <mergeCell ref="O2:Q2"/>
    <mergeCell ref="S2:U2"/>
  </mergeCells>
  <conditionalFormatting sqref="D7 Q7:Q13 X7:X13 AE7:AG13 C7:C15 AB8:AD8 R8:T13 Y8:AA13 D8:F15 J14:AG15">
    <cfRule type="expression" dxfId="232" priority="108" stopIfTrue="1">
      <formula>C7=KeyVacation</formula>
    </cfRule>
    <cfRule type="expression" dxfId="231" priority="107" stopIfTrue="1">
      <formula>C7=KeyPersonal</formula>
    </cfRule>
    <cfRule type="expression" dxfId="230" priority="106" stopIfTrue="1">
      <formula>C7=KeySick</formula>
    </cfRule>
    <cfRule type="expression" dxfId="229" priority="105" stopIfTrue="1">
      <formula>C7=KeyCustom1</formula>
    </cfRule>
    <cfRule type="expression" dxfId="228" priority="104" stopIfTrue="1">
      <formula>C7=KeyCustom2</formula>
    </cfRule>
    <cfRule type="expression" priority="103" stopIfTrue="1">
      <formula>C7=""</formula>
    </cfRule>
  </conditionalFormatting>
  <conditionalFormatting sqref="E7:F7">
    <cfRule type="expression" priority="109" stopIfTrue="1">
      <formula>E7=""</formula>
    </cfRule>
    <cfRule type="expression" dxfId="227" priority="112" stopIfTrue="1">
      <formula>E7=KeySick</formula>
    </cfRule>
    <cfRule type="expression" dxfId="226" priority="111" stopIfTrue="1">
      <formula>E7=KeyCustom1</formula>
    </cfRule>
    <cfRule type="expression" dxfId="225" priority="110" stopIfTrue="1">
      <formula>E7=KeyCustom2</formula>
    </cfRule>
    <cfRule type="expression" dxfId="224" priority="113" stopIfTrue="1">
      <formula>E7=KeyPersonal</formula>
    </cfRule>
    <cfRule type="expression" dxfId="223" priority="114" stopIfTrue="1">
      <formula>E7=KeyVacation</formula>
    </cfRule>
  </conditionalFormatting>
  <conditionalFormatting sqref="G7:I13 G14">
    <cfRule type="expression" dxfId="222" priority="98" stopIfTrue="1">
      <formula>G7=KeyCustom2</formula>
    </cfRule>
    <cfRule type="expression" dxfId="221" priority="102" stopIfTrue="1">
      <formula>G7=KeyVacation</formula>
    </cfRule>
    <cfRule type="expression" dxfId="220" priority="101" stopIfTrue="1">
      <formula>G7=KeyPersonal</formula>
    </cfRule>
    <cfRule type="expression" dxfId="219" priority="100" stopIfTrue="1">
      <formula>G7=KeySick</formula>
    </cfRule>
    <cfRule type="expression" dxfId="218" priority="99" stopIfTrue="1">
      <formula>G7=KeyCustom1</formula>
    </cfRule>
    <cfRule type="expression" priority="97" stopIfTrue="1">
      <formula>G7=""</formula>
    </cfRule>
  </conditionalFormatting>
  <conditionalFormatting sqref="J7:J13 K8:M13">
    <cfRule type="expression" dxfId="217" priority="38" stopIfTrue="1">
      <formula>J7=KeyCustom2</formula>
    </cfRule>
    <cfRule type="expression" dxfId="216" priority="39" stopIfTrue="1">
      <formula>J7=KeyCustom1</formula>
    </cfRule>
    <cfRule type="expression" dxfId="215" priority="40" stopIfTrue="1">
      <formula>J7=KeySick</formula>
    </cfRule>
    <cfRule type="expression" dxfId="214" priority="41" stopIfTrue="1">
      <formula>J7=KeyPersonal</formula>
    </cfRule>
    <cfRule type="expression" priority="37" stopIfTrue="1">
      <formula>J7=""</formula>
    </cfRule>
    <cfRule type="expression" dxfId="213" priority="42" stopIfTrue="1">
      <formula>J7=KeyVacation</formula>
    </cfRule>
  </conditionalFormatting>
  <conditionalFormatting sqref="K7">
    <cfRule type="expression" priority="85" stopIfTrue="1">
      <formula>K7=""</formula>
    </cfRule>
    <cfRule type="expression" dxfId="212" priority="89" stopIfTrue="1">
      <formula>K7=KeyPersonal</formula>
    </cfRule>
    <cfRule type="expression" dxfId="211" priority="90" stopIfTrue="1">
      <formula>K7=KeyVacation</formula>
    </cfRule>
    <cfRule type="expression" dxfId="210" priority="86" stopIfTrue="1">
      <formula>K7=KeyCustom2</formula>
    </cfRule>
    <cfRule type="expression" dxfId="209" priority="87" stopIfTrue="1">
      <formula>K7=KeyCustom1</formula>
    </cfRule>
    <cfRule type="expression" dxfId="208" priority="88" stopIfTrue="1">
      <formula>K7=KeySick</formula>
    </cfRule>
  </conditionalFormatting>
  <conditionalFormatting sqref="L7:M7">
    <cfRule type="expression" dxfId="207" priority="94" stopIfTrue="1">
      <formula>L7=KeySick</formula>
    </cfRule>
    <cfRule type="expression" dxfId="206" priority="92" stopIfTrue="1">
      <formula>L7=KeyCustom2</formula>
    </cfRule>
    <cfRule type="expression" priority="91" stopIfTrue="1">
      <formula>L7=""</formula>
    </cfRule>
    <cfRule type="expression" dxfId="205" priority="93" stopIfTrue="1">
      <formula>L7=KeyCustom1</formula>
    </cfRule>
    <cfRule type="expression" dxfId="204" priority="96" stopIfTrue="1">
      <formula>L7=KeyVacation</formula>
    </cfRule>
    <cfRule type="expression" dxfId="203" priority="95" stopIfTrue="1">
      <formula>L7=KeyPersonal</formula>
    </cfRule>
  </conditionalFormatting>
  <conditionalFormatting sqref="O7:P13">
    <cfRule type="expression" priority="211" stopIfTrue="1">
      <formula>O7=""</formula>
    </cfRule>
    <cfRule type="expression" dxfId="202" priority="212" stopIfTrue="1">
      <formula>O7=KeyCustom2</formula>
    </cfRule>
    <cfRule type="expression" dxfId="201" priority="213" stopIfTrue="1">
      <formula>O7=KeyCustom1</formula>
    </cfRule>
    <cfRule type="expression" dxfId="200" priority="214" stopIfTrue="1">
      <formula>O7=KeySick</formula>
    </cfRule>
    <cfRule type="expression" dxfId="199" priority="215" stopIfTrue="1">
      <formula>O7=KeyPersonal</formula>
    </cfRule>
    <cfRule type="expression" dxfId="198" priority="216" stopIfTrue="1">
      <formula>O7=KeyVacation</formula>
    </cfRule>
  </conditionalFormatting>
  <conditionalFormatting sqref="R7">
    <cfRule type="expression" dxfId="197" priority="70" stopIfTrue="1">
      <formula>R7=KeySick</formula>
    </cfRule>
    <cfRule type="expression" dxfId="196" priority="71" stopIfTrue="1">
      <formula>R7=KeyPersonal</formula>
    </cfRule>
    <cfRule type="expression" dxfId="195" priority="72" stopIfTrue="1">
      <formula>R7=KeyVacation</formula>
    </cfRule>
    <cfRule type="expression" priority="67" stopIfTrue="1">
      <formula>R7=""</formula>
    </cfRule>
    <cfRule type="expression" dxfId="194" priority="68" stopIfTrue="1">
      <formula>R7=KeyCustom2</formula>
    </cfRule>
    <cfRule type="expression" dxfId="193" priority="69" stopIfTrue="1">
      <formula>R7=KeyCustom1</formula>
    </cfRule>
  </conditionalFormatting>
  <conditionalFormatting sqref="S7:T7">
    <cfRule type="expression" dxfId="192" priority="78" stopIfTrue="1">
      <formula>S7=KeyVacation</formula>
    </cfRule>
    <cfRule type="expression" dxfId="191" priority="77" stopIfTrue="1">
      <formula>S7=KeyPersonal</formula>
    </cfRule>
    <cfRule type="expression" dxfId="190" priority="76" stopIfTrue="1">
      <formula>S7=KeySick</formula>
    </cfRule>
    <cfRule type="expression" dxfId="189" priority="75" stopIfTrue="1">
      <formula>S7=KeyCustom1</formula>
    </cfRule>
    <cfRule type="expression" dxfId="188" priority="74" stopIfTrue="1">
      <formula>S7=KeyCustom2</formula>
    </cfRule>
    <cfRule type="expression" priority="73" stopIfTrue="1">
      <formula>S7=""</formula>
    </cfRule>
  </conditionalFormatting>
  <conditionalFormatting sqref="Y7">
    <cfRule type="expression" dxfId="187" priority="54" stopIfTrue="1">
      <formula>Y7=KeyVacation</formula>
    </cfRule>
    <cfRule type="expression" dxfId="186" priority="53" stopIfTrue="1">
      <formula>Y7=KeyPersonal</formula>
    </cfRule>
    <cfRule type="expression" dxfId="185" priority="51" stopIfTrue="1">
      <formula>Y7=KeyCustom1</formula>
    </cfRule>
    <cfRule type="expression" dxfId="184" priority="50" stopIfTrue="1">
      <formula>Y7=KeyCustom2</formula>
    </cfRule>
    <cfRule type="expression" priority="49" stopIfTrue="1">
      <formula>Y7=""</formula>
    </cfRule>
    <cfRule type="expression" dxfId="183" priority="52" stopIfTrue="1">
      <formula>Y7=KeySick</formula>
    </cfRule>
  </conditionalFormatting>
  <conditionalFormatting sqref="Z7:AA7">
    <cfRule type="expression" dxfId="182" priority="59" stopIfTrue="1">
      <formula>Z7=KeyPersonal</formula>
    </cfRule>
    <cfRule type="expression" dxfId="181" priority="58" stopIfTrue="1">
      <formula>Z7=KeySick</formula>
    </cfRule>
    <cfRule type="expression" dxfId="180" priority="57" stopIfTrue="1">
      <formula>Z7=KeyCustom1</formula>
    </cfRule>
    <cfRule type="expression" dxfId="179" priority="56" stopIfTrue="1">
      <formula>Z7=KeyCustom2</formula>
    </cfRule>
    <cfRule type="expression" priority="55" stopIfTrue="1">
      <formula>Z7=""</formula>
    </cfRule>
    <cfRule type="expression" dxfId="178" priority="60" stopIfTrue="1">
      <formula>Z7=KeyVacation</formula>
    </cfRule>
  </conditionalFormatting>
  <conditionalFormatting sqref="AB7 N7:N13 U7:W13 AB9:AB13 H14:I14 G15:I15">
    <cfRule type="expression" priority="115" stopIfTrue="1">
      <formula>G7=""</formula>
    </cfRule>
    <cfRule type="expression" dxfId="177" priority="116" stopIfTrue="1">
      <formula>G7=KeyCustom2</formula>
    </cfRule>
    <cfRule type="expression" dxfId="176" priority="117" stopIfTrue="1">
      <formula>G7=KeyCustom1</formula>
    </cfRule>
    <cfRule type="expression" dxfId="175" priority="118" stopIfTrue="1">
      <formula>G7=KeySick</formula>
    </cfRule>
    <cfRule type="expression" dxfId="174" priority="119" stopIfTrue="1">
      <formula>G7=KeyPersonal</formula>
    </cfRule>
    <cfRule type="expression" dxfId="173" priority="120" stopIfTrue="1">
      <formula>G7=KeyVacation</formula>
    </cfRule>
  </conditionalFormatting>
  <conditionalFormatting sqref="AC7:AD7 AC9:AD13">
    <cfRule type="expression" priority="199" stopIfTrue="1">
      <formula>AC7=""</formula>
    </cfRule>
    <cfRule type="expression" dxfId="172" priority="200" stopIfTrue="1">
      <formula>AC7=KeyCustom2</formula>
    </cfRule>
    <cfRule type="expression" dxfId="171" priority="201" stopIfTrue="1">
      <formula>AC7=KeyCustom1</formula>
    </cfRule>
    <cfRule type="expression" dxfId="170" priority="202" stopIfTrue="1">
      <formula>AC7=KeySick</formula>
    </cfRule>
    <cfRule type="expression" dxfId="169" priority="203" stopIfTrue="1">
      <formula>AC7=KeyPersonal</formula>
    </cfRule>
    <cfRule type="expression" dxfId="168" priority="204" stopIfTrue="1">
      <formula>AC7=KeyVacation</formula>
    </cfRule>
  </conditionalFormatting>
  <conditionalFormatting sqref="AH7:AH15">
    <cfRule type="dataBar" priority="229">
      <dataBar>
        <cfvo type="num" val="0"/>
        <cfvo type="num" val="31"/>
        <color theme="2" tint="-0.249977111117893"/>
      </dataBar>
      <extLst>
        <ext xmlns:x14="http://schemas.microsoft.com/office/spreadsheetml/2009/9/main" uri="{B025F937-C7B1-47D3-B67F-A62EFF666E3E}">
          <x14:id>{AE57FAF8-F9EF-4694-A6E0-805EB50761FC}</x14:id>
        </ext>
      </extLst>
    </cfRule>
  </conditionalFormatting>
  <dataValidations count="14">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800-000000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800-000001000000}"/>
    <dataValidation allowBlank="1" showInputMessage="1" showErrorMessage="1" prompt="Deze rij definieert de sleutels die worden gebruikt in de tabel: cel C2 is Vakantie, G2 is Persoonlijk en K2 is Ziekteverlof. De cellen N2 en R2 kunnen worden aangepast" sqref="B2" xr:uid="{00000000-0002-0000-0800-000002000000}"/>
    <dataValidation allowBlank="1" showInputMessage="1" showErrorMessage="1" prompt="Voer links een label in om de aangepaste sleutel te beschrijven" sqref="O2:Q2 S2:U2" xr:uid="{00000000-0002-0000-0800-000003000000}"/>
    <dataValidation allowBlank="1" showInputMessage="1" showErrorMessage="1" prompt="Voer een letter in en pas rechts het label aan om een ander sleutelitem toe te voegen" sqref="N2 R2" xr:uid="{00000000-0002-0000-0800-000004000000}"/>
    <dataValidation allowBlank="1" showInputMessage="1" showErrorMessage="1" prompt="De letter &quot;Z&quot; geeft afwezigheid vanwege ziekte aan" sqref="K2" xr:uid="{00000000-0002-0000-0800-000005000000}"/>
    <dataValidation allowBlank="1" showInputMessage="1" showErrorMessage="1" prompt="De letter &quot;P&quot; geeft afwezigheid vanwege persoonlijke redenen aan" sqref="G2" xr:uid="{00000000-0002-0000-0800-000006000000}"/>
    <dataValidation allowBlank="1" showInputMessage="1" showErrorMessage="1" prompt="De letter &quot;V&quot; geeft afwezigheid vanwege vakantie aan" sqref="C2" xr:uid="{00000000-0002-0000-0800-000007000000}"/>
    <dataValidation allowBlank="1" showInputMessage="1" showErrorMessage="1" prompt="De titel wordt automatisch bijgewerkt in deze cel. Als u de titel wilt wijzigen, werk B1 in het januari-werkblad bij" sqref="B1" xr:uid="{00000000-0002-0000-08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800-000009000000}"/>
    <dataValidation allowBlank="1" showInputMessage="1" showErrorMessage="1" prompt="Houd de afwezigheid in september in dit werkblad bij" sqref="A1" xr:uid="{00000000-0002-0000-0800-00000A000000}"/>
    <dataValidation allowBlank="1" showInputMessage="1" showErrorMessage="1" prompt="Berekent automatisch het totaal aantal dagen die een werknemer in deze maand niet aanwezig was in deze kolom" sqref="AH6" xr:uid="{00000000-0002-0000-0800-00000B000000}"/>
    <dataValidation allowBlank="1" showInputMessage="1" showErrorMessage="1" prompt="Automatisch bijgewerkt jaar op basis van het jaar dat in het werkblad januari is ingevoerd" sqref="AH4" xr:uid="{00000000-0002-0000-08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8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E57FAF8-F9EF-4694-A6E0-805EB50761FC}">
            <x14:dataBar minLength="0" maxLength="100">
              <x14:cfvo type="num">
                <xm:f>0</xm:f>
              </x14:cfvo>
              <x14:cfvo type="num">
                <xm:f>31</xm:f>
              </x14:cfvo>
              <x14:negativeFillColor rgb="FFFF0000"/>
              <x14:axisColor rgb="FF000000"/>
            </x14:dataBar>
          </x14:cfRule>
          <xm:sqref>AH7:AH15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tabColor theme="2" tint="-0.249977111117893"/>
    <pageSetUpPr fitToPage="1"/>
  </sheetPr>
  <dimension ref="B1:AH18"/>
  <sheetViews>
    <sheetView showGridLines="0" zoomScaleNormal="100" workbookViewId="0">
      <selection activeCell="AD15" sqref="AD15"/>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54</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TEXT(WEEKDAY(DATE(CalendarYear,10,1),1),"aaa")</f>
        <v>wo</v>
      </c>
      <c r="D5" s="1" t="str">
        <f>TEXT(WEEKDAY(DATE(CalendarYear,10,2),1),"aaa")</f>
        <v>do</v>
      </c>
      <c r="E5" s="1" t="str">
        <f>TEXT(WEEKDAY(DATE(CalendarYear,10,3),1),"aaa")</f>
        <v>vr</v>
      </c>
      <c r="F5" s="1" t="str">
        <f>TEXT(WEEKDAY(DATE(CalendarYear,10,4),1),"aaa")</f>
        <v>za</v>
      </c>
      <c r="G5" s="1" t="str">
        <f>TEXT(WEEKDAY(DATE(CalendarYear,10,5),1),"aaa")</f>
        <v>zo</v>
      </c>
      <c r="H5" s="1" t="str">
        <f>TEXT(WEEKDAY(DATE(CalendarYear,10,6),1),"aaa")</f>
        <v>ma</v>
      </c>
      <c r="I5" s="1" t="str">
        <f>TEXT(WEEKDAY(DATE(CalendarYear,10,7),1),"aaa")</f>
        <v>di</v>
      </c>
      <c r="J5" s="1" t="str">
        <f>TEXT(WEEKDAY(DATE(CalendarYear,10,8),1),"aaa")</f>
        <v>wo</v>
      </c>
      <c r="K5" s="1" t="str">
        <f>TEXT(WEEKDAY(DATE(CalendarYear,10,9),1),"aaa")</f>
        <v>do</v>
      </c>
      <c r="L5" s="1" t="str">
        <f>TEXT(WEEKDAY(DATE(CalendarYear,10,10),1),"aaa")</f>
        <v>vr</v>
      </c>
      <c r="M5" s="1" t="str">
        <f>TEXT(WEEKDAY(DATE(CalendarYear,10,11),1),"aaa")</f>
        <v>za</v>
      </c>
      <c r="N5" s="1" t="str">
        <f>TEXT(WEEKDAY(DATE(CalendarYear,10,12),1),"aaa")</f>
        <v>zo</v>
      </c>
      <c r="O5" s="1" t="str">
        <f>TEXT(WEEKDAY(DATE(CalendarYear,10,13),1),"aaa")</f>
        <v>ma</v>
      </c>
      <c r="P5" s="1" t="str">
        <f>TEXT(WEEKDAY(DATE(CalendarYear,10,14),1),"aaa")</f>
        <v>di</v>
      </c>
      <c r="Q5" s="1" t="str">
        <f>TEXT(WEEKDAY(DATE(CalendarYear,10,15),1),"aaa")</f>
        <v>wo</v>
      </c>
      <c r="R5" s="1" t="str">
        <f>TEXT(WEEKDAY(DATE(CalendarYear,10,16),1),"aaa")</f>
        <v>do</v>
      </c>
      <c r="S5" s="1" t="str">
        <f>TEXT(WEEKDAY(DATE(CalendarYear,10,17),1),"aaa")</f>
        <v>vr</v>
      </c>
      <c r="T5" s="1" t="str">
        <f>TEXT(WEEKDAY(DATE(CalendarYear,10,18),1),"aaa")</f>
        <v>za</v>
      </c>
      <c r="U5" s="1" t="str">
        <f>TEXT(WEEKDAY(DATE(CalendarYear,10,19),1),"aaa")</f>
        <v>zo</v>
      </c>
      <c r="V5" s="1" t="str">
        <f>TEXT(WEEKDAY(DATE(CalendarYear,10,20),1),"aaa")</f>
        <v>ma</v>
      </c>
      <c r="W5" s="1" t="str">
        <f>TEXT(WEEKDAY(DATE(CalendarYear,10,21),1),"aaa")</f>
        <v>di</v>
      </c>
      <c r="X5" s="1" t="str">
        <f>TEXT(WEEKDAY(DATE(CalendarYear,10,22),1),"aaa")</f>
        <v>wo</v>
      </c>
      <c r="Y5" s="1" t="str">
        <f>TEXT(WEEKDAY(DATE(CalendarYear,10,23),1),"aaa")</f>
        <v>do</v>
      </c>
      <c r="Z5" s="1" t="str">
        <f>TEXT(WEEKDAY(DATE(CalendarYear,10,24),1),"aaa")</f>
        <v>vr</v>
      </c>
      <c r="AA5" s="1" t="str">
        <f>TEXT(WEEKDAY(DATE(CalendarYear,10,25),1),"aaa")</f>
        <v>za</v>
      </c>
      <c r="AB5" s="1" t="str">
        <f>TEXT(WEEKDAY(DATE(CalendarYear,10,26),1),"aaa")</f>
        <v>zo</v>
      </c>
      <c r="AC5" s="1" t="str">
        <f>TEXT(WEEKDAY(DATE(CalendarYear,10,27),1),"aaa")</f>
        <v>ma</v>
      </c>
      <c r="AD5" s="1" t="str">
        <f>TEXT(WEEKDAY(DATE(CalendarYear,10,28),1),"aaa")</f>
        <v>di</v>
      </c>
      <c r="AE5" s="1" t="str">
        <f>TEXT(WEEKDAY(DATE(CalendarYear,10,29),1),"aaa")</f>
        <v>wo</v>
      </c>
      <c r="AF5" s="1" t="str">
        <f>TEXT(WEEKDAY(DATE(CalendarYear,10,30),1),"aaa")</f>
        <v>do</v>
      </c>
      <c r="AG5" s="1" t="str">
        <f>TEXT(WEEKDAY(DATE(CalendarYear,10,31),1),"aaa")</f>
        <v>vr</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65</v>
      </c>
      <c r="C7" s="1" t="s">
        <v>67</v>
      </c>
      <c r="D7" s="1" t="s">
        <v>67</v>
      </c>
      <c r="E7" s="1">
        <v>3</v>
      </c>
      <c r="F7" s="1">
        <v>3.5</v>
      </c>
      <c r="G7" s="1">
        <v>3.5</v>
      </c>
      <c r="H7" s="1" t="s">
        <v>4</v>
      </c>
      <c r="I7" s="1" t="s">
        <v>67</v>
      </c>
      <c r="J7" s="1" t="s">
        <v>67</v>
      </c>
      <c r="K7" s="1" t="s">
        <v>67</v>
      </c>
      <c r="L7" s="1">
        <v>3.5</v>
      </c>
      <c r="M7" s="1">
        <v>3.5</v>
      </c>
      <c r="N7" s="1">
        <v>3.5</v>
      </c>
      <c r="O7" s="1" t="s">
        <v>4</v>
      </c>
      <c r="P7" s="1" t="s">
        <v>67</v>
      </c>
      <c r="Q7" s="1" t="s">
        <v>67</v>
      </c>
      <c r="R7" s="1" t="s">
        <v>67</v>
      </c>
      <c r="S7" s="1">
        <v>3</v>
      </c>
      <c r="T7" s="1">
        <v>3.5</v>
      </c>
      <c r="U7" s="1">
        <v>3.5</v>
      </c>
      <c r="V7" s="1" t="s">
        <v>4</v>
      </c>
      <c r="W7" s="1" t="s">
        <v>67</v>
      </c>
      <c r="X7" s="1" t="s">
        <v>67</v>
      </c>
      <c r="Y7" s="1" t="s">
        <v>67</v>
      </c>
      <c r="Z7" s="1">
        <v>3</v>
      </c>
      <c r="AA7" s="1">
        <v>3.5</v>
      </c>
      <c r="AB7" s="1">
        <v>3.5</v>
      </c>
      <c r="AC7" s="1" t="s">
        <v>4</v>
      </c>
      <c r="AD7" s="1" t="s">
        <v>67</v>
      </c>
      <c r="AE7" s="1" t="s">
        <v>67</v>
      </c>
      <c r="AF7" s="1" t="s">
        <v>67</v>
      </c>
      <c r="AG7" s="1">
        <v>3.5</v>
      </c>
      <c r="AH7" s="7">
        <f>SUM(Oktober[[#This Row],[1]:[31]])</f>
        <v>44</v>
      </c>
    </row>
    <row r="8" spans="2:34" ht="30" customHeight="1" x14ac:dyDescent="0.25">
      <c r="B8" s="19" t="s">
        <v>77</v>
      </c>
      <c r="C8" s="1" t="s">
        <v>67</v>
      </c>
      <c r="D8" s="1" t="s">
        <v>67</v>
      </c>
      <c r="E8" s="1">
        <v>3</v>
      </c>
      <c r="F8" s="1" t="s">
        <v>67</v>
      </c>
      <c r="G8" s="1" t="s">
        <v>67</v>
      </c>
      <c r="H8" s="1" t="s">
        <v>4</v>
      </c>
      <c r="I8" s="1" t="s">
        <v>67</v>
      </c>
      <c r="J8" s="1" t="s">
        <v>67</v>
      </c>
      <c r="K8" s="1" t="s">
        <v>67</v>
      </c>
      <c r="L8" s="1" t="s">
        <v>67</v>
      </c>
      <c r="M8" s="1" t="s">
        <v>67</v>
      </c>
      <c r="N8" s="1" t="s">
        <v>67</v>
      </c>
      <c r="O8" s="1" t="s">
        <v>4</v>
      </c>
      <c r="P8" s="1" t="s">
        <v>67</v>
      </c>
      <c r="Q8" s="1" t="s">
        <v>67</v>
      </c>
      <c r="R8" s="1" t="s">
        <v>67</v>
      </c>
      <c r="S8" s="1" t="s">
        <v>67</v>
      </c>
      <c r="T8" s="1" t="s">
        <v>67</v>
      </c>
      <c r="U8" s="1" t="s">
        <v>67</v>
      </c>
      <c r="V8" s="1" t="s">
        <v>4</v>
      </c>
      <c r="W8" s="1" t="s">
        <v>67</v>
      </c>
      <c r="X8" s="1" t="s">
        <v>67</v>
      </c>
      <c r="Y8" s="1" t="s">
        <v>67</v>
      </c>
      <c r="Z8" s="1" t="s">
        <v>67</v>
      </c>
      <c r="AA8" s="1" t="s">
        <v>67</v>
      </c>
      <c r="AB8" s="1" t="s">
        <v>67</v>
      </c>
      <c r="AC8" s="1" t="s">
        <v>4</v>
      </c>
      <c r="AD8" s="1" t="s">
        <v>67</v>
      </c>
      <c r="AE8" s="1" t="s">
        <v>67</v>
      </c>
      <c r="AF8" s="1" t="s">
        <v>67</v>
      </c>
      <c r="AG8" s="1" t="s">
        <v>67</v>
      </c>
      <c r="AH8" s="7">
        <f>SUM(Oktober[[#This Row],[1]:[31]])</f>
        <v>3</v>
      </c>
    </row>
    <row r="9" spans="2:34" ht="30" customHeight="1" x14ac:dyDescent="0.25">
      <c r="B9" t="s">
        <v>61</v>
      </c>
      <c r="C9" s="1" t="s">
        <v>67</v>
      </c>
      <c r="D9" s="1" t="s">
        <v>67</v>
      </c>
      <c r="E9" s="1" t="s">
        <v>67</v>
      </c>
      <c r="F9" s="1" t="s">
        <v>67</v>
      </c>
      <c r="G9" s="1">
        <v>5</v>
      </c>
      <c r="H9" s="1" t="s">
        <v>4</v>
      </c>
      <c r="I9" s="1" t="s">
        <v>67</v>
      </c>
      <c r="J9" s="1" t="s">
        <v>67</v>
      </c>
      <c r="K9" s="1" t="s">
        <v>67</v>
      </c>
      <c r="L9" s="1" t="s">
        <v>67</v>
      </c>
      <c r="M9" s="1">
        <v>5</v>
      </c>
      <c r="N9" s="1">
        <v>5</v>
      </c>
      <c r="O9" s="1" t="s">
        <v>4</v>
      </c>
      <c r="P9" s="1" t="s">
        <v>67</v>
      </c>
      <c r="Q9" s="1" t="s">
        <v>67</v>
      </c>
      <c r="R9" s="1" t="s">
        <v>67</v>
      </c>
      <c r="S9" s="1" t="s">
        <v>67</v>
      </c>
      <c r="T9" s="1">
        <v>5</v>
      </c>
      <c r="U9" s="1">
        <v>5</v>
      </c>
      <c r="V9" s="1" t="s">
        <v>4</v>
      </c>
      <c r="W9" s="1" t="s">
        <v>67</v>
      </c>
      <c r="X9" s="1" t="s">
        <v>67</v>
      </c>
      <c r="Y9" s="1" t="s">
        <v>67</v>
      </c>
      <c r="Z9" s="1" t="s">
        <v>67</v>
      </c>
      <c r="AA9" s="1" t="s">
        <v>67</v>
      </c>
      <c r="AB9" s="1">
        <v>5</v>
      </c>
      <c r="AC9" s="1" t="s">
        <v>4</v>
      </c>
      <c r="AD9" s="1" t="s">
        <v>67</v>
      </c>
      <c r="AE9" s="1" t="s">
        <v>67</v>
      </c>
      <c r="AF9" s="1" t="s">
        <v>67</v>
      </c>
      <c r="AG9" s="1" t="s">
        <v>67</v>
      </c>
      <c r="AH9" s="7">
        <f>SUM(Oktober[[#This Row],[1]:[31]])</f>
        <v>30</v>
      </c>
    </row>
    <row r="10" spans="2:34" ht="30" customHeight="1" x14ac:dyDescent="0.25">
      <c r="B10" s="19" t="s">
        <v>60</v>
      </c>
      <c r="C10" s="1" t="s">
        <v>67</v>
      </c>
      <c r="D10" s="1" t="s">
        <v>67</v>
      </c>
      <c r="E10" s="1">
        <v>5</v>
      </c>
      <c r="F10" s="1">
        <v>5</v>
      </c>
      <c r="G10" s="1">
        <v>5</v>
      </c>
      <c r="H10" s="1" t="s">
        <v>4</v>
      </c>
      <c r="I10" s="1" t="s">
        <v>67</v>
      </c>
      <c r="J10" s="1" t="s">
        <v>67</v>
      </c>
      <c r="K10" s="1" t="s">
        <v>67</v>
      </c>
      <c r="L10" s="1">
        <v>5</v>
      </c>
      <c r="M10" s="1" t="s">
        <v>4</v>
      </c>
      <c r="N10" s="1" t="s">
        <v>4</v>
      </c>
      <c r="O10" s="1" t="s">
        <v>4</v>
      </c>
      <c r="P10" s="1" t="s">
        <v>67</v>
      </c>
      <c r="Q10" s="1" t="s">
        <v>67</v>
      </c>
      <c r="R10" s="1" t="s">
        <v>67</v>
      </c>
      <c r="S10" s="1">
        <v>5</v>
      </c>
      <c r="T10" s="1" t="s">
        <v>4</v>
      </c>
      <c r="U10" s="1">
        <v>5</v>
      </c>
      <c r="V10" s="1" t="s">
        <v>4</v>
      </c>
      <c r="W10" s="1" t="s">
        <v>67</v>
      </c>
      <c r="X10" s="1" t="s">
        <v>67</v>
      </c>
      <c r="Y10" s="1" t="s">
        <v>67</v>
      </c>
      <c r="Z10" s="1">
        <v>5</v>
      </c>
      <c r="AA10" s="1">
        <v>5</v>
      </c>
      <c r="AB10" s="1" t="s">
        <v>4</v>
      </c>
      <c r="AC10" s="1" t="s">
        <v>4</v>
      </c>
      <c r="AD10" s="1" t="s">
        <v>67</v>
      </c>
      <c r="AE10" s="1" t="s">
        <v>67</v>
      </c>
      <c r="AF10" s="1" t="s">
        <v>67</v>
      </c>
      <c r="AG10" s="1">
        <v>5</v>
      </c>
      <c r="AH10" s="7">
        <f>SUM(Oktober[[#This Row],[1]:[31]])</f>
        <v>45</v>
      </c>
    </row>
    <row r="11" spans="2:34" ht="30" customHeight="1" x14ac:dyDescent="0.25">
      <c r="B11" s="20" t="s">
        <v>76</v>
      </c>
      <c r="C11" s="1" t="s">
        <v>67</v>
      </c>
      <c r="D11" s="1" t="s">
        <v>67</v>
      </c>
      <c r="E11" s="1">
        <v>5</v>
      </c>
      <c r="F11" s="1">
        <v>5</v>
      </c>
      <c r="G11" s="1">
        <v>5</v>
      </c>
      <c r="H11" s="1" t="s">
        <v>4</v>
      </c>
      <c r="I11" s="1" t="s">
        <v>67</v>
      </c>
      <c r="J11" s="1" t="s">
        <v>67</v>
      </c>
      <c r="K11" s="1" t="s">
        <v>67</v>
      </c>
      <c r="L11" s="1">
        <v>5</v>
      </c>
      <c r="M11" s="1">
        <v>5</v>
      </c>
      <c r="N11" s="1">
        <v>5</v>
      </c>
      <c r="O11" s="1" t="s">
        <v>4</v>
      </c>
      <c r="P11" s="1" t="s">
        <v>67</v>
      </c>
      <c r="Q11" s="1" t="s">
        <v>67</v>
      </c>
      <c r="R11" s="1" t="s">
        <v>67</v>
      </c>
      <c r="S11" s="1">
        <v>5</v>
      </c>
      <c r="T11" s="1">
        <v>5</v>
      </c>
      <c r="U11" s="1">
        <v>5</v>
      </c>
      <c r="V11" s="1" t="s">
        <v>4</v>
      </c>
      <c r="W11" s="1" t="s">
        <v>67</v>
      </c>
      <c r="X11" s="1" t="s">
        <v>67</v>
      </c>
      <c r="Y11" s="1" t="s">
        <v>67</v>
      </c>
      <c r="Z11" s="1">
        <v>5</v>
      </c>
      <c r="AA11" s="1">
        <v>5</v>
      </c>
      <c r="AB11" s="1">
        <v>5</v>
      </c>
      <c r="AC11" s="1" t="s">
        <v>4</v>
      </c>
      <c r="AD11" s="1" t="s">
        <v>67</v>
      </c>
      <c r="AE11" s="1" t="s">
        <v>67</v>
      </c>
      <c r="AF11" s="1" t="s">
        <v>67</v>
      </c>
      <c r="AG11" s="1">
        <v>5</v>
      </c>
      <c r="AH11" s="7">
        <f>SUM(Oktober[[#This Row],[1]:[31]])</f>
        <v>65</v>
      </c>
    </row>
    <row r="12" spans="2:34" ht="30" customHeight="1" x14ac:dyDescent="0.25">
      <c r="B12" t="s">
        <v>64</v>
      </c>
      <c r="C12" s="1" t="s">
        <v>67</v>
      </c>
      <c r="D12" s="1" t="s">
        <v>67</v>
      </c>
      <c r="E12" s="1" t="s">
        <v>67</v>
      </c>
      <c r="F12" s="1">
        <v>4</v>
      </c>
      <c r="G12" s="1">
        <v>4</v>
      </c>
      <c r="H12" s="1" t="s">
        <v>4</v>
      </c>
      <c r="I12" s="1" t="s">
        <v>67</v>
      </c>
      <c r="J12" s="1">
        <v>4</v>
      </c>
      <c r="K12" s="1">
        <v>4</v>
      </c>
      <c r="L12" s="1">
        <v>4</v>
      </c>
      <c r="M12" s="1">
        <v>4</v>
      </c>
      <c r="N12" s="1">
        <v>4</v>
      </c>
      <c r="O12" s="1" t="s">
        <v>4</v>
      </c>
      <c r="P12" s="1" t="s">
        <v>67</v>
      </c>
      <c r="Q12" s="1" t="s">
        <v>67</v>
      </c>
      <c r="R12" s="1" t="s">
        <v>67</v>
      </c>
      <c r="S12" s="1" t="s">
        <v>67</v>
      </c>
      <c r="T12" s="1">
        <v>4</v>
      </c>
      <c r="U12" s="1">
        <v>4</v>
      </c>
      <c r="V12" s="1" t="s">
        <v>4</v>
      </c>
      <c r="W12" s="1" t="s">
        <v>67</v>
      </c>
      <c r="X12" s="1">
        <v>4</v>
      </c>
      <c r="Y12" s="1">
        <v>4</v>
      </c>
      <c r="Z12" s="1">
        <v>4</v>
      </c>
      <c r="AA12" s="1">
        <v>4</v>
      </c>
      <c r="AB12" s="1">
        <v>4</v>
      </c>
      <c r="AC12" s="1" t="s">
        <v>4</v>
      </c>
      <c r="AD12" s="1" t="s">
        <v>67</v>
      </c>
      <c r="AE12" s="1" t="s">
        <v>67</v>
      </c>
      <c r="AF12" s="1" t="s">
        <v>67</v>
      </c>
      <c r="AG12" s="1" t="s">
        <v>67</v>
      </c>
      <c r="AH12" s="7">
        <f>SUM(Oktober[[#This Row],[1]:[31]])</f>
        <v>56</v>
      </c>
    </row>
    <row r="13" spans="2:34" ht="30" customHeight="1" x14ac:dyDescent="0.25">
      <c r="B13" t="s">
        <v>71</v>
      </c>
      <c r="C13" s="1" t="s">
        <v>67</v>
      </c>
      <c r="D13" s="1" t="s">
        <v>67</v>
      </c>
      <c r="E13" s="1">
        <v>4</v>
      </c>
      <c r="F13" s="1">
        <v>4</v>
      </c>
      <c r="G13" s="1">
        <v>4</v>
      </c>
      <c r="H13" s="1" t="s">
        <v>4</v>
      </c>
      <c r="I13" s="1" t="s">
        <v>67</v>
      </c>
      <c r="J13" s="1" t="s">
        <v>67</v>
      </c>
      <c r="K13" s="1" t="s">
        <v>67</v>
      </c>
      <c r="L13" s="1">
        <v>4</v>
      </c>
      <c r="M13" s="1">
        <v>4</v>
      </c>
      <c r="N13" s="1">
        <v>4</v>
      </c>
      <c r="O13" s="1" t="s">
        <v>4</v>
      </c>
      <c r="P13" s="1" t="s">
        <v>67</v>
      </c>
      <c r="Q13" s="1" t="s">
        <v>67</v>
      </c>
      <c r="R13" s="1" t="s">
        <v>67</v>
      </c>
      <c r="S13" s="1">
        <v>4</v>
      </c>
      <c r="T13" s="1">
        <v>4</v>
      </c>
      <c r="U13" s="1">
        <v>4</v>
      </c>
      <c r="V13" s="1" t="s">
        <v>4</v>
      </c>
      <c r="W13" s="1" t="s">
        <v>67</v>
      </c>
      <c r="X13" s="1" t="s">
        <v>67</v>
      </c>
      <c r="Y13" s="1" t="s">
        <v>67</v>
      </c>
      <c r="Z13" s="1">
        <v>4</v>
      </c>
      <c r="AA13" s="1">
        <v>4</v>
      </c>
      <c r="AB13" s="1">
        <v>4</v>
      </c>
      <c r="AC13" s="1" t="s">
        <v>4</v>
      </c>
      <c r="AD13" s="1" t="s">
        <v>67</v>
      </c>
      <c r="AE13" s="1" t="s">
        <v>67</v>
      </c>
      <c r="AF13" s="1" t="s">
        <v>67</v>
      </c>
      <c r="AG13" s="1">
        <v>4</v>
      </c>
      <c r="AH13" s="7">
        <f>SUM(Oktober[[#This Row],[1]:[31]])</f>
        <v>52</v>
      </c>
    </row>
    <row r="14" spans="2:34" ht="30" customHeight="1" x14ac:dyDescent="0.25">
      <c r="B14" t="s">
        <v>70</v>
      </c>
      <c r="C14" s="1" t="s">
        <v>67</v>
      </c>
      <c r="D14" s="1" t="s">
        <v>67</v>
      </c>
      <c r="E14" s="1">
        <v>5</v>
      </c>
      <c r="F14" s="1">
        <v>5</v>
      </c>
      <c r="G14" s="1">
        <v>5</v>
      </c>
      <c r="H14" s="1" t="s">
        <v>4</v>
      </c>
      <c r="I14" s="1" t="s">
        <v>67</v>
      </c>
      <c r="J14" s="1" t="s">
        <v>67</v>
      </c>
      <c r="K14" s="1" t="s">
        <v>67</v>
      </c>
      <c r="L14" s="1">
        <v>5</v>
      </c>
      <c r="M14" s="1">
        <v>5</v>
      </c>
      <c r="N14" s="1">
        <v>5</v>
      </c>
      <c r="O14" s="1" t="s">
        <v>4</v>
      </c>
      <c r="P14" s="1" t="s">
        <v>67</v>
      </c>
      <c r="Q14" s="1" t="s">
        <v>67</v>
      </c>
      <c r="R14" s="1" t="s">
        <v>67</v>
      </c>
      <c r="S14" s="1">
        <v>5</v>
      </c>
      <c r="T14" s="1">
        <v>5</v>
      </c>
      <c r="U14" s="1">
        <v>5</v>
      </c>
      <c r="V14" s="1" t="s">
        <v>4</v>
      </c>
      <c r="W14" s="1" t="s">
        <v>67</v>
      </c>
      <c r="X14" s="1" t="s">
        <v>67</v>
      </c>
      <c r="Y14" s="1" t="s">
        <v>67</v>
      </c>
      <c r="Z14" s="1">
        <v>5</v>
      </c>
      <c r="AA14" s="1">
        <v>5</v>
      </c>
      <c r="AB14" s="1">
        <v>5</v>
      </c>
      <c r="AC14" s="1" t="s">
        <v>4</v>
      </c>
      <c r="AD14" s="1" t="s">
        <v>67</v>
      </c>
      <c r="AE14" s="1" t="s">
        <v>67</v>
      </c>
      <c r="AF14" s="1" t="s">
        <v>67</v>
      </c>
      <c r="AG14" s="1">
        <v>5</v>
      </c>
      <c r="AH14" s="7">
        <f>SUM(Oktober[[#This Row],[1]:[31]])</f>
        <v>65</v>
      </c>
    </row>
    <row r="15" spans="2:34" ht="30" customHeight="1" x14ac:dyDescent="0.25">
      <c r="B15" t="s">
        <v>63</v>
      </c>
      <c r="C15" s="1" t="s">
        <v>67</v>
      </c>
      <c r="D15" s="1" t="s">
        <v>67</v>
      </c>
      <c r="E15" s="1" t="s">
        <v>67</v>
      </c>
      <c r="F15" s="1">
        <v>3.5</v>
      </c>
      <c r="G15" s="1">
        <v>3.5</v>
      </c>
      <c r="H15" s="1" t="s">
        <v>4</v>
      </c>
      <c r="I15" s="1">
        <v>3.5</v>
      </c>
      <c r="J15" s="1">
        <v>3.5</v>
      </c>
      <c r="K15" s="1" t="s">
        <v>67</v>
      </c>
      <c r="L15" s="1">
        <v>3.5</v>
      </c>
      <c r="M15" s="1">
        <v>3.5</v>
      </c>
      <c r="N15" s="1">
        <v>3.5</v>
      </c>
      <c r="O15" s="1" t="s">
        <v>4</v>
      </c>
      <c r="P15" s="1" t="s">
        <v>67</v>
      </c>
      <c r="Q15" s="1">
        <v>3.5</v>
      </c>
      <c r="R15" s="1">
        <v>3.5</v>
      </c>
      <c r="S15" s="1">
        <v>3.5</v>
      </c>
      <c r="T15" s="1">
        <v>3.5</v>
      </c>
      <c r="U15" s="1">
        <v>3.5</v>
      </c>
      <c r="V15" s="1" t="s">
        <v>4</v>
      </c>
      <c r="W15" s="1" t="s">
        <v>67</v>
      </c>
      <c r="X15" s="1" t="s">
        <v>67</v>
      </c>
      <c r="Y15" s="1" t="s">
        <v>67</v>
      </c>
      <c r="Z15" s="1" t="s">
        <v>67</v>
      </c>
      <c r="AA15" s="1">
        <v>3.5</v>
      </c>
      <c r="AB15" s="1">
        <v>3.5</v>
      </c>
      <c r="AC15" s="1" t="s">
        <v>4</v>
      </c>
      <c r="AD15" s="1">
        <v>3.5</v>
      </c>
      <c r="AE15" s="1">
        <v>3.5</v>
      </c>
      <c r="AF15" s="1" t="s">
        <v>67</v>
      </c>
      <c r="AG15" s="1">
        <v>3.5</v>
      </c>
      <c r="AH15" s="7">
        <f>SUM(Oktober[[#This Row],[1]:[31]])</f>
        <v>59.5</v>
      </c>
    </row>
    <row r="16" spans="2:34" ht="30" customHeight="1" x14ac:dyDescent="0.25">
      <c r="B16" t="s">
        <v>62</v>
      </c>
      <c r="C16" s="1" t="s">
        <v>67</v>
      </c>
      <c r="D16" s="1" t="s">
        <v>67</v>
      </c>
      <c r="E16" s="1" t="s">
        <v>67</v>
      </c>
      <c r="F16" s="1">
        <v>3.5</v>
      </c>
      <c r="G16" s="1">
        <v>3.5</v>
      </c>
      <c r="H16" s="1" t="s">
        <v>4</v>
      </c>
      <c r="I16" s="1" t="s">
        <v>67</v>
      </c>
      <c r="J16" s="1" t="s">
        <v>67</v>
      </c>
      <c r="K16" s="1" t="s">
        <v>67</v>
      </c>
      <c r="L16" s="1" t="s">
        <v>67</v>
      </c>
      <c r="M16" s="1" t="s">
        <v>67</v>
      </c>
      <c r="N16" s="1" t="s">
        <v>67</v>
      </c>
      <c r="O16" s="1" t="s">
        <v>4</v>
      </c>
      <c r="P16" s="1" t="s">
        <v>67</v>
      </c>
      <c r="Q16" s="1" t="s">
        <v>67</v>
      </c>
      <c r="R16" s="1" t="s">
        <v>67</v>
      </c>
      <c r="S16" s="1" t="s">
        <v>67</v>
      </c>
      <c r="T16" s="1" t="s">
        <v>67</v>
      </c>
      <c r="U16" s="1" t="s">
        <v>67</v>
      </c>
      <c r="V16" s="1" t="s">
        <v>4</v>
      </c>
      <c r="W16" s="1" t="s">
        <v>67</v>
      </c>
      <c r="X16" s="1" t="s">
        <v>67</v>
      </c>
      <c r="Y16" s="1" t="s">
        <v>67</v>
      </c>
      <c r="Z16" s="1" t="s">
        <v>67</v>
      </c>
      <c r="AA16" s="1" t="s">
        <v>67</v>
      </c>
      <c r="AB16" s="1" t="s">
        <v>67</v>
      </c>
      <c r="AC16" s="1" t="s">
        <v>4</v>
      </c>
      <c r="AD16" s="1" t="s">
        <v>67</v>
      </c>
      <c r="AE16" s="1" t="s">
        <v>67</v>
      </c>
      <c r="AF16" s="1" t="s">
        <v>67</v>
      </c>
      <c r="AG16" s="1" t="s">
        <v>67</v>
      </c>
      <c r="AH16" s="7">
        <f>SUM(Oktober[[#This Row],[1]:[31]])</f>
        <v>7</v>
      </c>
    </row>
    <row r="17" spans="2:34" ht="30" customHeight="1" x14ac:dyDescent="0.25">
      <c r="B17" s="19" t="s">
        <v>75</v>
      </c>
      <c r="C17" s="1" t="s">
        <v>67</v>
      </c>
      <c r="D17" s="1" t="s">
        <v>67</v>
      </c>
      <c r="E17" s="1">
        <v>5</v>
      </c>
      <c r="F17" s="1">
        <v>5</v>
      </c>
      <c r="G17" s="1">
        <v>5</v>
      </c>
      <c r="H17" s="1" t="s">
        <v>4</v>
      </c>
      <c r="I17" s="1" t="s">
        <v>67</v>
      </c>
      <c r="J17" s="1" t="s">
        <v>67</v>
      </c>
      <c r="K17" s="1" t="s">
        <v>67</v>
      </c>
      <c r="L17" s="1">
        <v>5</v>
      </c>
      <c r="M17" s="1">
        <v>5</v>
      </c>
      <c r="N17" s="1">
        <v>5</v>
      </c>
      <c r="O17" s="1" t="s">
        <v>4</v>
      </c>
      <c r="P17" s="1" t="s">
        <v>67</v>
      </c>
      <c r="Q17" s="1" t="s">
        <v>67</v>
      </c>
      <c r="R17" s="1" t="s">
        <v>67</v>
      </c>
      <c r="S17" s="1">
        <v>5</v>
      </c>
      <c r="T17" s="1">
        <v>5</v>
      </c>
      <c r="U17" s="1">
        <v>5</v>
      </c>
      <c r="V17" s="1" t="s">
        <v>4</v>
      </c>
      <c r="W17" s="1" t="s">
        <v>67</v>
      </c>
      <c r="X17" s="1" t="s">
        <v>67</v>
      </c>
      <c r="Y17" s="1" t="s">
        <v>67</v>
      </c>
      <c r="Z17" s="1">
        <v>5</v>
      </c>
      <c r="AA17" s="1">
        <v>5</v>
      </c>
      <c r="AB17" s="1">
        <v>5</v>
      </c>
      <c r="AC17" s="1" t="s">
        <v>4</v>
      </c>
      <c r="AD17" s="1" t="s">
        <v>67</v>
      </c>
      <c r="AE17" s="1" t="s">
        <v>67</v>
      </c>
      <c r="AF17" s="1" t="s">
        <v>67</v>
      </c>
      <c r="AG17" s="1">
        <v>5</v>
      </c>
      <c r="AH17" s="7">
        <f>SUM(Oktober[[#This Row],[1]:[31]])</f>
        <v>65</v>
      </c>
    </row>
    <row r="18" spans="2:34" ht="30" customHeight="1" x14ac:dyDescent="0.25">
      <c r="B18" s="16" t="str">
        <f>MonthName&amp;" Totaal"</f>
        <v>Oktober Totaal</v>
      </c>
      <c r="C18" s="9">
        <f>SUM(Oktober[1])</f>
        <v>0</v>
      </c>
      <c r="D18" s="9">
        <f>SUM(Oktober[2])</f>
        <v>0</v>
      </c>
      <c r="E18" s="9">
        <f>SUM(Oktober[3])</f>
        <v>30</v>
      </c>
      <c r="F18" s="9">
        <f>SUM(Oktober[4])</f>
        <v>38.5</v>
      </c>
      <c r="G18" s="9">
        <f>SUM(Oktober[5])</f>
        <v>43.5</v>
      </c>
      <c r="H18" s="9">
        <f>SUM(Oktober[6])</f>
        <v>0</v>
      </c>
      <c r="I18" s="9">
        <f>SUM(Oktober[7])</f>
        <v>3.5</v>
      </c>
      <c r="J18" s="9">
        <f>SUM(Oktober[8])</f>
        <v>7.5</v>
      </c>
      <c r="K18" s="9">
        <f>SUM(Oktober[9])</f>
        <v>4</v>
      </c>
      <c r="L18" s="9">
        <f>SUM(Oktober[10])</f>
        <v>35</v>
      </c>
      <c r="M18" s="9">
        <f>SUM(Oktober[11])</f>
        <v>35</v>
      </c>
      <c r="N18" s="9">
        <f>SUM(Oktober[12])</f>
        <v>35</v>
      </c>
      <c r="O18" s="9">
        <f>SUM(Oktober[13])</f>
        <v>0</v>
      </c>
      <c r="P18" s="9">
        <f>SUM(Oktober[14])</f>
        <v>0</v>
      </c>
      <c r="Q18" s="9">
        <f>SUM(Oktober[15])</f>
        <v>3.5</v>
      </c>
      <c r="R18" s="9">
        <f>SUM(Oktober[16])</f>
        <v>3.5</v>
      </c>
      <c r="S18" s="9">
        <f>SUM(Oktober[17])</f>
        <v>30.5</v>
      </c>
      <c r="T18" s="9">
        <f>SUM(Oktober[18])</f>
        <v>35</v>
      </c>
      <c r="U18" s="9">
        <f>SUM(Oktober[19])</f>
        <v>40</v>
      </c>
      <c r="V18" s="9">
        <f>SUM(Oktober[20])</f>
        <v>0</v>
      </c>
      <c r="W18" s="9">
        <f>SUM(Oktober[21])</f>
        <v>0</v>
      </c>
      <c r="X18" s="9">
        <f>SUM(Oktober[22])</f>
        <v>4</v>
      </c>
      <c r="Y18" s="9">
        <f>SUM(Oktober[23])</f>
        <v>4</v>
      </c>
      <c r="Z18" s="9">
        <f>SUM(Oktober[24])</f>
        <v>31</v>
      </c>
      <c r="AA18" s="9">
        <f>SUM(Oktober[25])</f>
        <v>35</v>
      </c>
      <c r="AB18" s="9">
        <f>SUM(Oktober[26])</f>
        <v>35</v>
      </c>
      <c r="AC18" s="9">
        <f>SUM(Oktober[27])</f>
        <v>0</v>
      </c>
      <c r="AD18" s="9">
        <f>SUM(Oktober[28])</f>
        <v>3.5</v>
      </c>
      <c r="AE18" s="9">
        <f>SUM(Oktober[29])</f>
        <v>3.5</v>
      </c>
      <c r="AF18" s="9">
        <f>SUM(Oktober[30])</f>
        <v>0</v>
      </c>
      <c r="AG18" s="9">
        <f>SUM(Oktober[31])</f>
        <v>31</v>
      </c>
      <c r="AH18" s="9">
        <f>SUM(Oktober[[#Totals],[1]:[31]])</f>
        <v>491.5</v>
      </c>
    </row>
  </sheetData>
  <mergeCells count="6">
    <mergeCell ref="C4:AG4"/>
    <mergeCell ref="D2:F2"/>
    <mergeCell ref="H2:J2"/>
    <mergeCell ref="L2:M2"/>
    <mergeCell ref="O2:Q2"/>
    <mergeCell ref="S2:U2"/>
  </mergeCells>
  <conditionalFormatting sqref="I7:K8 L8:N8">
    <cfRule type="expression" dxfId="167" priority="132" stopIfTrue="1">
      <formula>I7=KeyVacation</formula>
    </cfRule>
    <cfRule type="expression" dxfId="166" priority="128" stopIfTrue="1">
      <formula>I7=KeyCustom2</formula>
    </cfRule>
    <cfRule type="expression" priority="127" stopIfTrue="1">
      <formula>I7=""</formula>
    </cfRule>
    <cfRule type="expression" dxfId="165" priority="131" stopIfTrue="1">
      <formula>I7=KeyPersonal</formula>
    </cfRule>
    <cfRule type="expression" dxfId="164" priority="130" stopIfTrue="1">
      <formula>I7=KeySick</formula>
    </cfRule>
    <cfRule type="expression" dxfId="163" priority="129" stopIfTrue="1">
      <formula>I7=KeyCustom1</formula>
    </cfRule>
  </conditionalFormatting>
  <conditionalFormatting sqref="L7:O7 S7:V7 Z7:AC7 AG7 C7:H17 O8 V8 AC8 I9:AG17">
    <cfRule type="expression" priority="31" stopIfTrue="1">
      <formula>C7=""</formula>
    </cfRule>
    <cfRule type="expression" dxfId="162" priority="32" stopIfTrue="1">
      <formula>C7=KeyCustom2</formula>
    </cfRule>
    <cfRule type="expression" dxfId="161" priority="33" stopIfTrue="1">
      <formula>C7=KeyCustom1</formula>
    </cfRule>
    <cfRule type="expression" dxfId="160" priority="34" stopIfTrue="1">
      <formula>C7=KeySick</formula>
    </cfRule>
    <cfRule type="expression" dxfId="159" priority="35" stopIfTrue="1">
      <formula>C7=KeyPersonal</formula>
    </cfRule>
    <cfRule type="expression" dxfId="158" priority="36" stopIfTrue="1">
      <formula>C7=KeyVacation</formula>
    </cfRule>
  </conditionalFormatting>
  <conditionalFormatting sqref="P7">
    <cfRule type="expression" dxfId="157" priority="114" stopIfTrue="1">
      <formula>P7=KeyVacation</formula>
    </cfRule>
    <cfRule type="expression" dxfId="156" priority="113" stopIfTrue="1">
      <formula>P7=KeyPersonal</formula>
    </cfRule>
    <cfRule type="expression" dxfId="155" priority="111" stopIfTrue="1">
      <formula>P7=KeyCustom1</formula>
    </cfRule>
    <cfRule type="expression" dxfId="154" priority="110" stopIfTrue="1">
      <formula>P7=KeyCustom2</formula>
    </cfRule>
    <cfRule type="expression" priority="109" stopIfTrue="1">
      <formula>P7=""</formula>
    </cfRule>
    <cfRule type="expression" dxfId="153" priority="112" stopIfTrue="1">
      <formula>P7=KeySick</formula>
    </cfRule>
  </conditionalFormatting>
  <conditionalFormatting sqref="P8:U8">
    <cfRule type="expression" priority="13" stopIfTrue="1">
      <formula>P8=""</formula>
    </cfRule>
    <cfRule type="expression" dxfId="152" priority="18" stopIfTrue="1">
      <formula>P8=KeyVacation</formula>
    </cfRule>
    <cfRule type="expression" dxfId="151" priority="16" stopIfTrue="1">
      <formula>P8=KeySick</formula>
    </cfRule>
    <cfRule type="expression" dxfId="150" priority="15" stopIfTrue="1">
      <formula>P8=KeyCustom1</formula>
    </cfRule>
    <cfRule type="expression" dxfId="149" priority="14" stopIfTrue="1">
      <formula>P8=KeyCustom2</formula>
    </cfRule>
    <cfRule type="expression" dxfId="148" priority="17" stopIfTrue="1">
      <formula>P8=KeyPersonal</formula>
    </cfRule>
  </conditionalFormatting>
  <conditionalFormatting sqref="Q7:R7">
    <cfRule type="expression" dxfId="147" priority="117" stopIfTrue="1">
      <formula>Q7=KeyCustom1</formula>
    </cfRule>
    <cfRule type="expression" dxfId="146" priority="116" stopIfTrue="1">
      <formula>Q7=KeyCustom2</formula>
    </cfRule>
    <cfRule type="expression" priority="115" stopIfTrue="1">
      <formula>Q7=""</formula>
    </cfRule>
    <cfRule type="expression" dxfId="145" priority="119" stopIfTrue="1">
      <formula>Q7=KeyPersonal</formula>
    </cfRule>
    <cfRule type="expression" dxfId="144" priority="118" stopIfTrue="1">
      <formula>Q7=KeySick</formula>
    </cfRule>
    <cfRule type="expression" dxfId="143" priority="120" stopIfTrue="1">
      <formula>Q7=KeyVacation</formula>
    </cfRule>
  </conditionalFormatting>
  <conditionalFormatting sqref="W7">
    <cfRule type="expression" dxfId="142" priority="95" stopIfTrue="1">
      <formula>W7=KeyPersonal</formula>
    </cfRule>
    <cfRule type="expression" dxfId="141" priority="94" stopIfTrue="1">
      <formula>W7=KeySick</formula>
    </cfRule>
    <cfRule type="expression" dxfId="140" priority="93" stopIfTrue="1">
      <formula>W7=KeyCustom1</formula>
    </cfRule>
    <cfRule type="expression" dxfId="139" priority="92" stopIfTrue="1">
      <formula>W7=KeyCustom2</formula>
    </cfRule>
    <cfRule type="expression" priority="91" stopIfTrue="1">
      <formula>W7=""</formula>
    </cfRule>
    <cfRule type="expression" dxfId="138" priority="96" stopIfTrue="1">
      <formula>W7=KeyVacation</formula>
    </cfRule>
  </conditionalFormatting>
  <conditionalFormatting sqref="W8:AB8">
    <cfRule type="expression" dxfId="137" priority="10" stopIfTrue="1">
      <formula>W8=KeySick</formula>
    </cfRule>
    <cfRule type="expression" dxfId="136" priority="11" stopIfTrue="1">
      <formula>W8=KeyPersonal</formula>
    </cfRule>
    <cfRule type="expression" dxfId="135" priority="12" stopIfTrue="1">
      <formula>W8=KeyVacation</formula>
    </cfRule>
    <cfRule type="expression" dxfId="134" priority="9" stopIfTrue="1">
      <formula>W8=KeyCustom1</formula>
    </cfRule>
    <cfRule type="expression" priority="7" stopIfTrue="1">
      <formula>W8=""</formula>
    </cfRule>
    <cfRule type="expression" dxfId="133" priority="8" stopIfTrue="1">
      <formula>W8=KeyCustom2</formula>
    </cfRule>
  </conditionalFormatting>
  <conditionalFormatting sqref="X7:Y7">
    <cfRule type="expression" priority="97" stopIfTrue="1">
      <formula>X7=""</formula>
    </cfRule>
    <cfRule type="expression" dxfId="132" priority="98" stopIfTrue="1">
      <formula>X7=KeyCustom2</formula>
    </cfRule>
    <cfRule type="expression" dxfId="131" priority="99" stopIfTrue="1">
      <formula>X7=KeyCustom1</formula>
    </cfRule>
    <cfRule type="expression" dxfId="130" priority="100" stopIfTrue="1">
      <formula>X7=KeySick</formula>
    </cfRule>
    <cfRule type="expression" dxfId="129" priority="101" stopIfTrue="1">
      <formula>X7=KeyPersonal</formula>
    </cfRule>
    <cfRule type="expression" dxfId="128" priority="102" stopIfTrue="1">
      <formula>X7=KeyVacation</formula>
    </cfRule>
  </conditionalFormatting>
  <conditionalFormatting sqref="AD7">
    <cfRule type="expression" dxfId="127" priority="76" stopIfTrue="1">
      <formula>AD7=KeySick</formula>
    </cfRule>
    <cfRule type="expression" dxfId="126" priority="75" stopIfTrue="1">
      <formula>AD7=KeyCustom1</formula>
    </cfRule>
    <cfRule type="expression" priority="73" stopIfTrue="1">
      <formula>AD7=""</formula>
    </cfRule>
    <cfRule type="expression" dxfId="125" priority="74" stopIfTrue="1">
      <formula>AD7=KeyCustom2</formula>
    </cfRule>
    <cfRule type="expression" dxfId="124" priority="78" stopIfTrue="1">
      <formula>AD7=KeyVacation</formula>
    </cfRule>
    <cfRule type="expression" dxfId="123" priority="77" stopIfTrue="1">
      <formula>AD7=KeyPersonal</formula>
    </cfRule>
  </conditionalFormatting>
  <conditionalFormatting sqref="AD8:AG8">
    <cfRule type="expression" priority="1" stopIfTrue="1">
      <formula>AD8=""</formula>
    </cfRule>
    <cfRule type="expression" dxfId="122" priority="6" stopIfTrue="1">
      <formula>AD8=KeyVacation</formula>
    </cfRule>
    <cfRule type="expression" dxfId="121" priority="5" stopIfTrue="1">
      <formula>AD8=KeyPersonal</formula>
    </cfRule>
    <cfRule type="expression" dxfId="120" priority="4" stopIfTrue="1">
      <formula>AD8=KeySick</formula>
    </cfRule>
    <cfRule type="expression" dxfId="119" priority="3" stopIfTrue="1">
      <formula>AD8=KeyCustom1</formula>
    </cfRule>
    <cfRule type="expression" dxfId="118" priority="2" stopIfTrue="1">
      <formula>AD8=KeyCustom2</formula>
    </cfRule>
  </conditionalFormatting>
  <conditionalFormatting sqref="AE7:AF7">
    <cfRule type="expression" dxfId="117" priority="83" stopIfTrue="1">
      <formula>AE7=KeyPersonal</formula>
    </cfRule>
    <cfRule type="expression" dxfId="116" priority="84" stopIfTrue="1">
      <formula>AE7=KeyVacation</formula>
    </cfRule>
    <cfRule type="expression" dxfId="115" priority="81" stopIfTrue="1">
      <formula>AE7=KeyCustom1</formula>
    </cfRule>
    <cfRule type="expression" dxfId="114" priority="80" stopIfTrue="1">
      <formula>AE7=KeyCustom2</formula>
    </cfRule>
    <cfRule type="expression" priority="79" stopIfTrue="1">
      <formula>AE7=""</formula>
    </cfRule>
    <cfRule type="expression" dxfId="113" priority="82" stopIfTrue="1">
      <formula>AE7=KeySick</formula>
    </cfRule>
  </conditionalFormatting>
  <conditionalFormatting sqref="AH7:AH17">
    <cfRule type="dataBar" priority="277">
      <dataBar>
        <cfvo type="num" val="0"/>
        <cfvo type="num" val="31"/>
        <color theme="2" tint="-0.249977111117893"/>
      </dataBar>
      <extLst>
        <ext xmlns:x14="http://schemas.microsoft.com/office/spreadsheetml/2009/9/main" uri="{B025F937-C7B1-47D3-B67F-A62EFF666E3E}">
          <x14:id>{7A32AE3C-4FF2-47CB-BBFD-9BB2CFE7100D}</x14:id>
        </ext>
      </extLst>
    </cfRule>
  </conditionalFormatting>
  <dataValidations count="14">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900-000000000000}"/>
    <dataValidation allowBlank="1" showInputMessage="1" showErrorMessage="1" prompt="Automatisch bijgewerkt jaar op basis van het jaar dat in het werkblad januari is ingevoerd" sqref="AH4" xr:uid="{00000000-0002-0000-0900-000001000000}"/>
    <dataValidation allowBlank="1" showInputMessage="1" showErrorMessage="1" prompt="Berekent automatisch het totaal aantal dagen die een werknemer in deze maand niet aanwezig was in deze kolom" sqref="AH6" xr:uid="{00000000-0002-0000-0900-000002000000}"/>
    <dataValidation allowBlank="1" showInputMessage="1" showErrorMessage="1" prompt="Houd de afwezigheid in oktober in dit werkblad bij" sqref="A1" xr:uid="{00000000-0002-0000-0900-000003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900-000004000000}"/>
    <dataValidation allowBlank="1" showInputMessage="1" showErrorMessage="1" prompt="De titel wordt automatisch bijgewerkt in deze cel. Als u de titel wilt wijzigen, werk B1 in het januari-werkblad bij" sqref="B1" xr:uid="{00000000-0002-0000-0900-000005000000}"/>
    <dataValidation allowBlank="1" showInputMessage="1" showErrorMessage="1" prompt="De letter &quot;V&quot; geeft afwezigheid vanwege vakantie aan" sqref="C2" xr:uid="{00000000-0002-0000-0900-000006000000}"/>
    <dataValidation allowBlank="1" showInputMessage="1" showErrorMessage="1" prompt="De letter &quot;P&quot; geeft afwezigheid vanwege persoonlijke redenen aan" sqref="G2" xr:uid="{00000000-0002-0000-0900-000007000000}"/>
    <dataValidation allowBlank="1" showInputMessage="1" showErrorMessage="1" prompt="De letter &quot;Z&quot; geeft afwezigheid vanwege ziekte aan" sqref="K2" xr:uid="{00000000-0002-0000-0900-000008000000}"/>
    <dataValidation allowBlank="1" showInputMessage="1" showErrorMessage="1" prompt="Voer een letter in en pas rechts het label aan om een ander sleutelitem toe te voegen" sqref="N2 R2" xr:uid="{00000000-0002-0000-0900-000009000000}"/>
    <dataValidation allowBlank="1" showInputMessage="1" showErrorMessage="1" prompt="Voer links een label in om de aangepaste sleutel te beschrijven" sqref="O2:Q2 S2:U2" xr:uid="{00000000-0002-0000-0900-00000A000000}"/>
    <dataValidation allowBlank="1" showInputMessage="1" showErrorMessage="1" prompt="Deze rij definieert de sleutels die worden gebruikt in de tabel: cel C2 is Vakantie, G2 is Persoonlijk en K2 is Ziekteverlof. De cellen N2 en R2 kunnen worden aangepast" sqref="B2" xr:uid="{00000000-0002-0000-0900-00000B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9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9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A32AE3C-4FF2-47CB-BBFD-9BB2CFE7100D}">
            <x14:dataBar minLength="0" maxLength="100">
              <x14:cfvo type="num">
                <xm:f>0</xm:f>
              </x14:cfvo>
              <x14:cfvo type="num">
                <xm:f>31</xm:f>
              </x14:cfvo>
              <x14:negativeFillColor rgb="FFFF0000"/>
              <x14:axisColor rgb="FF000000"/>
            </x14:dataBar>
          </x14:cfRule>
          <xm:sqref>AH7:AH17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tabColor theme="2" tint="-0.249977111117893"/>
    <pageSetUpPr fitToPage="1"/>
  </sheetPr>
  <dimension ref="B1:AH17"/>
  <sheetViews>
    <sheetView showGridLines="0" zoomScaleNormal="100" workbookViewId="0">
      <selection activeCell="M14" sqref="M14"/>
    </sheetView>
  </sheetViews>
  <sheetFormatPr defaultRowHeight="30" customHeight="1" x14ac:dyDescent="0.25"/>
  <cols>
    <col min="1" max="1" width="2.710937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55</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TEXT(WEEKDAY(DATE(CalendarYear,11,1),1),"aaa")</f>
        <v>za</v>
      </c>
      <c r="D5" s="1" t="str">
        <f>TEXT(WEEKDAY(DATE(CalendarYear,11,2),1),"aaa")</f>
        <v>zo</v>
      </c>
      <c r="E5" s="1" t="str">
        <f>TEXT(WEEKDAY(DATE(CalendarYear,11,3),1),"aaa")</f>
        <v>ma</v>
      </c>
      <c r="F5" s="1" t="str">
        <f>TEXT(WEEKDAY(DATE(CalendarYear,11,4),1),"aaa")</f>
        <v>di</v>
      </c>
      <c r="G5" s="1" t="str">
        <f>TEXT(WEEKDAY(DATE(CalendarYear,11,5),1),"aaa")</f>
        <v>wo</v>
      </c>
      <c r="H5" s="1" t="str">
        <f>TEXT(WEEKDAY(DATE(CalendarYear,11,6),1),"aaa")</f>
        <v>do</v>
      </c>
      <c r="I5" s="1" t="str">
        <f>TEXT(WEEKDAY(DATE(CalendarYear,11,7),1),"aaa")</f>
        <v>vr</v>
      </c>
      <c r="J5" s="1" t="str">
        <f>TEXT(WEEKDAY(DATE(CalendarYear,11,8),1),"aaa")</f>
        <v>za</v>
      </c>
      <c r="K5" s="1" t="str">
        <f>TEXT(WEEKDAY(DATE(CalendarYear,11,9),1),"aaa")</f>
        <v>zo</v>
      </c>
      <c r="L5" s="1" t="str">
        <f>TEXT(WEEKDAY(DATE(CalendarYear,11,10),1),"aaa")</f>
        <v>ma</v>
      </c>
      <c r="M5" s="1" t="str">
        <f>TEXT(WEEKDAY(DATE(CalendarYear,11,11),1),"aaa")</f>
        <v>di</v>
      </c>
      <c r="N5" s="1" t="str">
        <f>TEXT(WEEKDAY(DATE(CalendarYear,11,12),1),"aaa")</f>
        <v>wo</v>
      </c>
      <c r="O5" s="1" t="str">
        <f>TEXT(WEEKDAY(DATE(CalendarYear,11,13),1),"aaa")</f>
        <v>do</v>
      </c>
      <c r="P5" s="1" t="str">
        <f>TEXT(WEEKDAY(DATE(CalendarYear,11,14),1),"aaa")</f>
        <v>vr</v>
      </c>
      <c r="Q5" s="1" t="str">
        <f>TEXT(WEEKDAY(DATE(CalendarYear,11,15),1),"aaa")</f>
        <v>za</v>
      </c>
      <c r="R5" s="1" t="str">
        <f>TEXT(WEEKDAY(DATE(CalendarYear,11,16),1),"aaa")</f>
        <v>zo</v>
      </c>
      <c r="S5" s="1" t="str">
        <f>TEXT(WEEKDAY(DATE(CalendarYear,11,17),1),"aaa")</f>
        <v>ma</v>
      </c>
      <c r="T5" s="1" t="str">
        <f>TEXT(WEEKDAY(DATE(CalendarYear,11,18),1),"aaa")</f>
        <v>di</v>
      </c>
      <c r="U5" s="1" t="str">
        <f>TEXT(WEEKDAY(DATE(CalendarYear,11,19),1),"aaa")</f>
        <v>wo</v>
      </c>
      <c r="V5" s="1" t="str">
        <f>TEXT(WEEKDAY(DATE(CalendarYear,11,20),1),"aaa")</f>
        <v>do</v>
      </c>
      <c r="W5" s="1" t="str">
        <f>TEXT(WEEKDAY(DATE(CalendarYear,11,21),1),"aaa")</f>
        <v>vr</v>
      </c>
      <c r="X5" s="1" t="str">
        <f>TEXT(WEEKDAY(DATE(CalendarYear,11,22),1),"aaa")</f>
        <v>za</v>
      </c>
      <c r="Y5" s="1" t="str">
        <f>TEXT(WEEKDAY(DATE(CalendarYear,11,23),1),"aaa")</f>
        <v>zo</v>
      </c>
      <c r="Z5" s="1" t="str">
        <f>TEXT(WEEKDAY(DATE(CalendarYear,11,24),1),"aaa")</f>
        <v>ma</v>
      </c>
      <c r="AA5" s="1" t="str">
        <f>TEXT(WEEKDAY(DATE(CalendarYear,11,25),1),"aaa")</f>
        <v>di</v>
      </c>
      <c r="AB5" s="1" t="str">
        <f>TEXT(WEEKDAY(DATE(CalendarYear,11,26),1),"aaa")</f>
        <v>wo</v>
      </c>
      <c r="AC5" s="1" t="str">
        <f>TEXT(WEEKDAY(DATE(CalendarYear,11,27),1),"aaa")</f>
        <v>do</v>
      </c>
      <c r="AD5" s="1" t="str">
        <f>TEXT(WEEKDAY(DATE(CalendarYear,11,28),1),"aaa")</f>
        <v>vr</v>
      </c>
      <c r="AE5" s="1" t="str">
        <f>TEXT(WEEKDAY(DATE(CalendarYear,11,29),1),"aaa")</f>
        <v>za</v>
      </c>
      <c r="AF5" s="1" t="str">
        <f>TEXT(WEEKDAY(DATE(CalendarYear,11,30),1),"aaa")</f>
        <v>zo</v>
      </c>
      <c r="AG5" s="1"/>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46</v>
      </c>
      <c r="AH6" s="12" t="s">
        <v>68</v>
      </c>
    </row>
    <row r="7" spans="2:34" ht="30" customHeight="1" x14ac:dyDescent="0.25">
      <c r="B7" t="s">
        <v>65</v>
      </c>
      <c r="C7" s="1">
        <v>3.5</v>
      </c>
      <c r="D7" s="1">
        <v>3.5</v>
      </c>
      <c r="E7" s="1" t="s">
        <v>4</v>
      </c>
      <c r="F7" s="1" t="s">
        <v>67</v>
      </c>
      <c r="G7" s="1" t="s">
        <v>67</v>
      </c>
      <c r="H7" s="1" t="s">
        <v>67</v>
      </c>
      <c r="I7" s="1">
        <v>3</v>
      </c>
      <c r="J7" s="1">
        <v>3.5</v>
      </c>
      <c r="K7" s="1">
        <v>3.5</v>
      </c>
      <c r="L7" s="1" t="s">
        <v>4</v>
      </c>
      <c r="M7" s="1" t="s">
        <v>4</v>
      </c>
      <c r="N7" s="1" t="s">
        <v>67</v>
      </c>
      <c r="O7" s="1" t="s">
        <v>67</v>
      </c>
      <c r="P7" s="1">
        <v>3</v>
      </c>
      <c r="Q7" s="1">
        <v>3.5</v>
      </c>
      <c r="R7" s="1">
        <v>3.5</v>
      </c>
      <c r="S7" s="1" t="s">
        <v>4</v>
      </c>
      <c r="T7" s="1" t="s">
        <v>67</v>
      </c>
      <c r="U7" s="1" t="s">
        <v>67</v>
      </c>
      <c r="V7" s="1" t="s">
        <v>67</v>
      </c>
      <c r="W7" s="1">
        <v>3.5</v>
      </c>
      <c r="X7" s="1">
        <v>3.5</v>
      </c>
      <c r="Y7" s="1">
        <v>3.5</v>
      </c>
      <c r="Z7" s="1" t="s">
        <v>4</v>
      </c>
      <c r="AA7" s="1" t="s">
        <v>67</v>
      </c>
      <c r="AB7" s="1" t="s">
        <v>67</v>
      </c>
      <c r="AC7" s="1" t="s">
        <v>67</v>
      </c>
      <c r="AD7" s="1">
        <v>3.5</v>
      </c>
      <c r="AE7" s="1">
        <v>3.5</v>
      </c>
      <c r="AF7" s="1">
        <v>3.5</v>
      </c>
      <c r="AG7" s="1"/>
      <c r="AH7" s="7">
        <f>SUM(November[[#This Row],[1]:[30]])</f>
        <v>48</v>
      </c>
    </row>
    <row r="8" spans="2:34" ht="30" customHeight="1" x14ac:dyDescent="0.25">
      <c r="B8" t="s">
        <v>61</v>
      </c>
      <c r="C8" s="1">
        <v>5</v>
      </c>
      <c r="D8" s="1">
        <v>5</v>
      </c>
      <c r="E8" s="1" t="s">
        <v>4</v>
      </c>
      <c r="F8" s="1" t="s">
        <v>67</v>
      </c>
      <c r="G8" s="1" t="s">
        <v>67</v>
      </c>
      <c r="H8" s="1" t="s">
        <v>67</v>
      </c>
      <c r="I8" s="1" t="s">
        <v>67</v>
      </c>
      <c r="J8" s="1">
        <v>5</v>
      </c>
      <c r="K8" s="1">
        <v>5</v>
      </c>
      <c r="L8" s="1" t="s">
        <v>4</v>
      </c>
      <c r="M8" s="1">
        <v>5</v>
      </c>
      <c r="N8" s="1" t="s">
        <v>67</v>
      </c>
      <c r="O8" s="1" t="s">
        <v>67</v>
      </c>
      <c r="P8" s="1" t="s">
        <v>67</v>
      </c>
      <c r="Q8" s="1">
        <v>5</v>
      </c>
      <c r="R8" s="1" t="s">
        <v>4</v>
      </c>
      <c r="S8" s="1" t="s">
        <v>4</v>
      </c>
      <c r="T8" s="1" t="s">
        <v>67</v>
      </c>
      <c r="U8" s="1" t="s">
        <v>67</v>
      </c>
      <c r="V8" s="1" t="s">
        <v>67</v>
      </c>
      <c r="W8" s="1">
        <v>5</v>
      </c>
      <c r="X8" s="1">
        <v>5</v>
      </c>
      <c r="Y8" s="1">
        <v>5</v>
      </c>
      <c r="Z8" s="1" t="s">
        <v>4</v>
      </c>
      <c r="AA8" s="1" t="s">
        <v>67</v>
      </c>
      <c r="AB8" s="1" t="s">
        <v>67</v>
      </c>
      <c r="AC8" s="1" t="s">
        <v>67</v>
      </c>
      <c r="AD8" s="1" t="s">
        <v>67</v>
      </c>
      <c r="AE8" s="1">
        <v>5</v>
      </c>
      <c r="AF8" s="1">
        <v>5</v>
      </c>
      <c r="AG8" s="1"/>
      <c r="AH8" s="7">
        <f>SUM(November[[#This Row],[1]:[30]])</f>
        <v>55</v>
      </c>
    </row>
    <row r="9" spans="2:34" ht="30" customHeight="1" x14ac:dyDescent="0.25">
      <c r="B9" s="20" t="s">
        <v>76</v>
      </c>
      <c r="C9" s="1">
        <v>5</v>
      </c>
      <c r="D9" s="1">
        <v>5</v>
      </c>
      <c r="E9" s="1" t="s">
        <v>4</v>
      </c>
      <c r="F9" s="1" t="s">
        <v>67</v>
      </c>
      <c r="G9" s="1" t="s">
        <v>67</v>
      </c>
      <c r="H9" s="1" t="s">
        <v>67</v>
      </c>
      <c r="I9" s="1">
        <v>5</v>
      </c>
      <c r="J9" s="1">
        <v>5</v>
      </c>
      <c r="K9" s="1">
        <v>5</v>
      </c>
      <c r="L9" s="1" t="s">
        <v>4</v>
      </c>
      <c r="M9" s="1">
        <v>5</v>
      </c>
      <c r="N9" s="1" t="s">
        <v>67</v>
      </c>
      <c r="O9" s="1" t="s">
        <v>67</v>
      </c>
      <c r="P9" s="1">
        <v>5</v>
      </c>
      <c r="Q9" s="1">
        <v>5</v>
      </c>
      <c r="R9" s="1">
        <v>5</v>
      </c>
      <c r="S9" s="1" t="s">
        <v>4</v>
      </c>
      <c r="T9" s="1" t="s">
        <v>67</v>
      </c>
      <c r="U9" s="1" t="s">
        <v>67</v>
      </c>
      <c r="V9" s="1" t="s">
        <v>67</v>
      </c>
      <c r="W9" s="1">
        <v>5</v>
      </c>
      <c r="X9" s="1">
        <v>5</v>
      </c>
      <c r="Y9" s="1">
        <v>5</v>
      </c>
      <c r="Z9" s="1" t="s">
        <v>4</v>
      </c>
      <c r="AA9" s="1" t="s">
        <v>67</v>
      </c>
      <c r="AB9" s="1" t="s">
        <v>67</v>
      </c>
      <c r="AC9" s="1" t="s">
        <v>67</v>
      </c>
      <c r="AD9" s="1">
        <v>5</v>
      </c>
      <c r="AE9" s="1">
        <v>5</v>
      </c>
      <c r="AF9" s="1">
        <v>5</v>
      </c>
      <c r="AG9" s="1"/>
      <c r="AH9" s="7">
        <f>SUM(November[[#This Row],[1]:[30]])</f>
        <v>75</v>
      </c>
    </row>
    <row r="10" spans="2:34" ht="30" customHeight="1" x14ac:dyDescent="0.25">
      <c r="B10" t="s">
        <v>64</v>
      </c>
      <c r="C10" s="1">
        <v>4</v>
      </c>
      <c r="D10" s="1">
        <v>4</v>
      </c>
      <c r="E10" s="1" t="s">
        <v>4</v>
      </c>
      <c r="F10" s="1" t="s">
        <v>67</v>
      </c>
      <c r="G10" s="1">
        <v>4</v>
      </c>
      <c r="H10" s="1">
        <v>4</v>
      </c>
      <c r="I10" s="1">
        <v>4</v>
      </c>
      <c r="J10" s="1">
        <v>4</v>
      </c>
      <c r="K10" s="1">
        <v>4</v>
      </c>
      <c r="L10" s="1" t="s">
        <v>4</v>
      </c>
      <c r="M10" s="1">
        <v>4</v>
      </c>
      <c r="N10" s="1" t="s">
        <v>67</v>
      </c>
      <c r="O10" s="1" t="s">
        <v>67</v>
      </c>
      <c r="P10" s="1" t="s">
        <v>67</v>
      </c>
      <c r="Q10" s="1">
        <v>4</v>
      </c>
      <c r="R10" s="1">
        <v>4</v>
      </c>
      <c r="S10" s="1" t="s">
        <v>4</v>
      </c>
      <c r="T10" s="1" t="s">
        <v>67</v>
      </c>
      <c r="U10" s="1">
        <v>4</v>
      </c>
      <c r="V10" s="1">
        <v>4</v>
      </c>
      <c r="W10" s="1">
        <v>4</v>
      </c>
      <c r="X10" s="1">
        <v>4</v>
      </c>
      <c r="Y10" s="1">
        <v>4</v>
      </c>
      <c r="Z10" s="1" t="s">
        <v>4</v>
      </c>
      <c r="AA10" s="1" t="s">
        <v>67</v>
      </c>
      <c r="AB10" s="1" t="s">
        <v>67</v>
      </c>
      <c r="AC10" s="1" t="s">
        <v>67</v>
      </c>
      <c r="AD10" s="1" t="s">
        <v>67</v>
      </c>
      <c r="AE10" s="1">
        <v>4</v>
      </c>
      <c r="AF10" s="1">
        <v>4</v>
      </c>
      <c r="AG10" s="1"/>
      <c r="AH10" s="7">
        <f>SUM(November[[#This Row],[1]:[30]])</f>
        <v>68</v>
      </c>
    </row>
    <row r="11" spans="2:34" ht="30" customHeight="1" x14ac:dyDescent="0.25">
      <c r="B11" t="s">
        <v>71</v>
      </c>
      <c r="C11" s="1">
        <v>4</v>
      </c>
      <c r="D11" s="1">
        <v>4</v>
      </c>
      <c r="E11" s="1" t="s">
        <v>4</v>
      </c>
      <c r="F11" s="1" t="s">
        <v>67</v>
      </c>
      <c r="G11" s="1" t="s">
        <v>67</v>
      </c>
      <c r="H11" s="1" t="s">
        <v>67</v>
      </c>
      <c r="I11" s="1">
        <v>4</v>
      </c>
      <c r="J11" s="1">
        <v>4</v>
      </c>
      <c r="K11" s="1">
        <v>4</v>
      </c>
      <c r="L11" s="1" t="s">
        <v>4</v>
      </c>
      <c r="M11" s="1">
        <v>4</v>
      </c>
      <c r="N11" s="1" t="s">
        <v>67</v>
      </c>
      <c r="O11" s="1" t="s">
        <v>67</v>
      </c>
      <c r="P11" s="1">
        <v>4</v>
      </c>
      <c r="Q11" s="1">
        <v>4</v>
      </c>
      <c r="R11" s="1">
        <v>4</v>
      </c>
      <c r="S11" s="1" t="s">
        <v>4</v>
      </c>
      <c r="T11" s="1" t="s">
        <v>67</v>
      </c>
      <c r="U11" s="1" t="s">
        <v>67</v>
      </c>
      <c r="V11" s="1" t="s">
        <v>67</v>
      </c>
      <c r="W11" s="1">
        <v>4</v>
      </c>
      <c r="X11" s="1">
        <v>4</v>
      </c>
      <c r="Y11" s="1">
        <v>4</v>
      </c>
      <c r="Z11" s="1" t="s">
        <v>4</v>
      </c>
      <c r="AA11" s="1" t="s">
        <v>67</v>
      </c>
      <c r="AB11" s="1" t="s">
        <v>67</v>
      </c>
      <c r="AC11" s="1" t="s">
        <v>67</v>
      </c>
      <c r="AD11" s="1">
        <v>4</v>
      </c>
      <c r="AE11" s="1">
        <v>4</v>
      </c>
      <c r="AF11" s="1">
        <v>4</v>
      </c>
      <c r="AG11" s="1"/>
      <c r="AH11" s="7">
        <f>SUM(November[[#This Row],[1]:[30]])</f>
        <v>60</v>
      </c>
    </row>
    <row r="12" spans="2:34" ht="30" customHeight="1" x14ac:dyDescent="0.25">
      <c r="B12" t="s">
        <v>70</v>
      </c>
      <c r="C12" s="1">
        <v>5</v>
      </c>
      <c r="D12" s="1">
        <v>5</v>
      </c>
      <c r="E12" s="1" t="s">
        <v>4</v>
      </c>
      <c r="F12" s="1" t="s">
        <v>67</v>
      </c>
      <c r="G12" s="1" t="s">
        <v>67</v>
      </c>
      <c r="H12" s="1" t="s">
        <v>67</v>
      </c>
      <c r="I12" s="1">
        <v>5</v>
      </c>
      <c r="J12" s="1">
        <v>5</v>
      </c>
      <c r="K12" s="1">
        <v>5</v>
      </c>
      <c r="L12" s="1" t="s">
        <v>4</v>
      </c>
      <c r="M12" s="1">
        <v>5</v>
      </c>
      <c r="N12" s="1" t="s">
        <v>67</v>
      </c>
      <c r="O12" s="1" t="s">
        <v>67</v>
      </c>
      <c r="P12" s="1">
        <v>5</v>
      </c>
      <c r="Q12" s="1">
        <v>5</v>
      </c>
      <c r="R12" s="1">
        <v>5</v>
      </c>
      <c r="S12" s="1" t="s">
        <v>4</v>
      </c>
      <c r="T12" s="1" t="s">
        <v>67</v>
      </c>
      <c r="U12" s="1" t="s">
        <v>67</v>
      </c>
      <c r="V12" s="1" t="s">
        <v>67</v>
      </c>
      <c r="W12" s="1">
        <v>5</v>
      </c>
      <c r="X12" s="1">
        <v>5</v>
      </c>
      <c r="Y12" s="1">
        <v>5</v>
      </c>
      <c r="Z12" s="1" t="s">
        <v>4</v>
      </c>
      <c r="AA12" s="1" t="s">
        <v>67</v>
      </c>
      <c r="AB12" s="1" t="s">
        <v>67</v>
      </c>
      <c r="AC12" s="1" t="s">
        <v>67</v>
      </c>
      <c r="AD12" s="1">
        <v>5</v>
      </c>
      <c r="AE12" s="1">
        <v>5</v>
      </c>
      <c r="AF12" s="1">
        <v>5</v>
      </c>
      <c r="AG12" s="1"/>
      <c r="AH12" s="7">
        <f>SUM(November[[#This Row],[1]:[30]])</f>
        <v>75</v>
      </c>
    </row>
    <row r="13" spans="2:34" ht="30" customHeight="1" x14ac:dyDescent="0.25">
      <c r="B13" t="s">
        <v>63</v>
      </c>
      <c r="C13" s="1">
        <v>3.5</v>
      </c>
      <c r="D13" s="1">
        <v>3.5</v>
      </c>
      <c r="E13" s="1" t="s">
        <v>4</v>
      </c>
      <c r="F13" s="1" t="s">
        <v>67</v>
      </c>
      <c r="G13" s="1" t="s">
        <v>67</v>
      </c>
      <c r="H13" s="1" t="s">
        <v>67</v>
      </c>
      <c r="I13" s="1">
        <v>3.5</v>
      </c>
      <c r="J13" s="1" t="s">
        <v>4</v>
      </c>
      <c r="K13" s="1">
        <v>3.5</v>
      </c>
      <c r="L13" s="1" t="s">
        <v>4</v>
      </c>
      <c r="M13" s="1">
        <v>3.5</v>
      </c>
      <c r="N13" s="1">
        <v>3.5</v>
      </c>
      <c r="O13" s="1">
        <v>3.5</v>
      </c>
      <c r="P13" s="1">
        <v>3.5</v>
      </c>
      <c r="Q13" s="1">
        <v>3.5</v>
      </c>
      <c r="R13" s="1">
        <v>3.5</v>
      </c>
      <c r="S13" s="1" t="s">
        <v>4</v>
      </c>
      <c r="T13" s="1">
        <v>4</v>
      </c>
      <c r="U13" s="1">
        <v>3.5</v>
      </c>
      <c r="V13" s="1" t="s">
        <v>67</v>
      </c>
      <c r="W13" s="1" t="s">
        <v>67</v>
      </c>
      <c r="X13" s="1">
        <v>3.5</v>
      </c>
      <c r="Y13" s="1">
        <v>4</v>
      </c>
      <c r="Z13" s="1" t="s">
        <v>4</v>
      </c>
      <c r="AA13" s="1">
        <v>3.5</v>
      </c>
      <c r="AB13" s="1">
        <v>4</v>
      </c>
      <c r="AC13" s="1" t="s">
        <v>67</v>
      </c>
      <c r="AD13" s="1">
        <v>3.5</v>
      </c>
      <c r="AE13" s="1">
        <v>3.5</v>
      </c>
      <c r="AF13" s="1">
        <v>3.5</v>
      </c>
      <c r="AG13" s="1"/>
      <c r="AH13" s="7">
        <f>SUM(November[[#This Row],[1]:[30]])</f>
        <v>68</v>
      </c>
    </row>
    <row r="14" spans="2:34" ht="30" customHeight="1" x14ac:dyDescent="0.25">
      <c r="B14" t="s">
        <v>60</v>
      </c>
      <c r="C14" s="1" t="s">
        <v>4</v>
      </c>
      <c r="D14" s="1">
        <v>5</v>
      </c>
      <c r="E14" s="1" t="s">
        <v>4</v>
      </c>
      <c r="F14" s="1" t="s">
        <v>67</v>
      </c>
      <c r="G14" s="1" t="s">
        <v>67</v>
      </c>
      <c r="H14" s="1" t="s">
        <v>67</v>
      </c>
      <c r="I14" s="1">
        <v>5</v>
      </c>
      <c r="J14" s="1" t="s">
        <v>4</v>
      </c>
      <c r="K14" s="1">
        <v>5</v>
      </c>
      <c r="L14" s="1" t="s">
        <v>4</v>
      </c>
      <c r="M14" s="1" t="s">
        <v>67</v>
      </c>
      <c r="N14" s="1" t="s">
        <v>67</v>
      </c>
      <c r="O14" s="1" t="s">
        <v>67</v>
      </c>
      <c r="P14" s="1">
        <v>5</v>
      </c>
      <c r="Q14" s="1" t="s">
        <v>4</v>
      </c>
      <c r="R14" s="1">
        <v>5</v>
      </c>
      <c r="S14" s="1" t="s">
        <v>4</v>
      </c>
      <c r="T14" s="1" t="s">
        <v>67</v>
      </c>
      <c r="U14" s="1" t="s">
        <v>67</v>
      </c>
      <c r="V14" s="1" t="s">
        <v>67</v>
      </c>
      <c r="W14" s="1">
        <v>5</v>
      </c>
      <c r="X14" s="1">
        <v>5</v>
      </c>
      <c r="Y14" s="1">
        <v>5</v>
      </c>
      <c r="Z14" s="1" t="s">
        <v>4</v>
      </c>
      <c r="AA14" s="1" t="s">
        <v>67</v>
      </c>
      <c r="AB14" s="1" t="s">
        <v>67</v>
      </c>
      <c r="AC14" s="1" t="s">
        <v>67</v>
      </c>
      <c r="AD14" s="1" t="s">
        <v>67</v>
      </c>
      <c r="AE14" s="1" t="s">
        <v>67</v>
      </c>
      <c r="AF14" s="1">
        <v>5</v>
      </c>
      <c r="AG14" s="1"/>
      <c r="AH14" s="7">
        <f>SUM(November[[#This Row],[1]:[30]])</f>
        <v>45</v>
      </c>
    </row>
    <row r="15" spans="2:34" ht="30" customHeight="1" x14ac:dyDescent="0.25">
      <c r="B15" t="s">
        <v>62</v>
      </c>
      <c r="C15" s="1">
        <v>3.5</v>
      </c>
      <c r="D15" s="1">
        <v>3.5</v>
      </c>
      <c r="E15" s="1" t="s">
        <v>4</v>
      </c>
      <c r="F15" s="1" t="s">
        <v>67</v>
      </c>
      <c r="G15" s="1" t="s">
        <v>67</v>
      </c>
      <c r="H15" s="1" t="s">
        <v>67</v>
      </c>
      <c r="I15" s="1" t="s">
        <v>67</v>
      </c>
      <c r="J15" s="1">
        <v>3.5</v>
      </c>
      <c r="K15" s="1">
        <v>3.5</v>
      </c>
      <c r="L15" s="1" t="s">
        <v>4</v>
      </c>
      <c r="M15" s="1" t="s">
        <v>67</v>
      </c>
      <c r="N15" s="1" t="s">
        <v>67</v>
      </c>
      <c r="O15" s="1" t="s">
        <v>67</v>
      </c>
      <c r="P15" s="1" t="s">
        <v>67</v>
      </c>
      <c r="Q15" s="1" t="s">
        <v>4</v>
      </c>
      <c r="R15" s="1">
        <v>3.5</v>
      </c>
      <c r="S15" s="1" t="s">
        <v>4</v>
      </c>
      <c r="T15" s="1" t="s">
        <v>67</v>
      </c>
      <c r="U15" s="1" t="s">
        <v>67</v>
      </c>
      <c r="V15" s="1" t="s">
        <v>67</v>
      </c>
      <c r="W15" s="1" t="s">
        <v>67</v>
      </c>
      <c r="X15" s="1">
        <v>3.5</v>
      </c>
      <c r="Y15" s="1">
        <v>3.5</v>
      </c>
      <c r="Z15" s="1" t="s">
        <v>4</v>
      </c>
      <c r="AA15" s="1" t="s">
        <v>67</v>
      </c>
      <c r="AB15" s="1" t="s">
        <v>67</v>
      </c>
      <c r="AC15" s="1" t="s">
        <v>67</v>
      </c>
      <c r="AD15" s="1" t="s">
        <v>67</v>
      </c>
      <c r="AE15" s="1">
        <v>3.5</v>
      </c>
      <c r="AF15" s="1">
        <v>3.5</v>
      </c>
      <c r="AG15" s="1"/>
      <c r="AH15" s="7">
        <f>SUM(November[[#This Row],[1]:[30]])</f>
        <v>31.5</v>
      </c>
    </row>
    <row r="16" spans="2:34" ht="30" customHeight="1" x14ac:dyDescent="0.25">
      <c r="B16" s="19" t="s">
        <v>75</v>
      </c>
      <c r="C16" s="1">
        <v>5</v>
      </c>
      <c r="D16" s="1">
        <v>5</v>
      </c>
      <c r="E16" s="1" t="s">
        <v>4</v>
      </c>
      <c r="F16" s="1" t="s">
        <v>67</v>
      </c>
      <c r="G16" s="1" t="s">
        <v>67</v>
      </c>
      <c r="H16" s="1" t="s">
        <v>67</v>
      </c>
      <c r="I16" s="1">
        <v>5</v>
      </c>
      <c r="J16" s="1">
        <v>5</v>
      </c>
      <c r="K16" s="1">
        <v>5</v>
      </c>
      <c r="L16" s="1" t="s">
        <v>4</v>
      </c>
      <c r="M16" s="1">
        <v>5</v>
      </c>
      <c r="N16" s="1" t="s">
        <v>67</v>
      </c>
      <c r="O16" s="1" t="s">
        <v>67</v>
      </c>
      <c r="P16" s="1">
        <v>5</v>
      </c>
      <c r="Q16" s="1">
        <v>5</v>
      </c>
      <c r="R16" s="1">
        <v>5</v>
      </c>
      <c r="S16" s="1" t="s">
        <v>4</v>
      </c>
      <c r="T16" s="1" t="s">
        <v>67</v>
      </c>
      <c r="U16" s="1" t="s">
        <v>67</v>
      </c>
      <c r="V16" s="1" t="s">
        <v>67</v>
      </c>
      <c r="W16" s="1">
        <v>5</v>
      </c>
      <c r="X16" s="1">
        <v>5</v>
      </c>
      <c r="Y16" s="1">
        <v>5</v>
      </c>
      <c r="Z16" s="1" t="s">
        <v>4</v>
      </c>
      <c r="AA16" s="1" t="s">
        <v>67</v>
      </c>
      <c r="AB16" s="1" t="s">
        <v>67</v>
      </c>
      <c r="AC16" s="1" t="s">
        <v>67</v>
      </c>
      <c r="AD16" s="1">
        <v>5</v>
      </c>
      <c r="AE16" s="1">
        <v>5</v>
      </c>
      <c r="AF16" s="1">
        <v>5</v>
      </c>
      <c r="AG16" s="1"/>
      <c r="AH16" s="7">
        <f>SUM(November[[#This Row],[1]:[30]])</f>
        <v>75</v>
      </c>
    </row>
    <row r="17" spans="2:34" ht="30" customHeight="1" x14ac:dyDescent="0.25">
      <c r="B17" s="16" t="str">
        <f>MonthName&amp;" Totaal"</f>
        <v>November Totaal</v>
      </c>
      <c r="C17" s="9">
        <f>SUM(November[1])</f>
        <v>38.5</v>
      </c>
      <c r="D17" s="9">
        <f>SUM(November[2])</f>
        <v>43.5</v>
      </c>
      <c r="E17" s="9">
        <f>SUM(November[3])</f>
        <v>0</v>
      </c>
      <c r="F17" s="9">
        <f>SUM(November[4])</f>
        <v>0</v>
      </c>
      <c r="G17" s="9">
        <f>SUM(November[5])</f>
        <v>4</v>
      </c>
      <c r="H17" s="9">
        <f>SUM(November[6])</f>
        <v>4</v>
      </c>
      <c r="I17" s="9">
        <f>SUM(November[7])</f>
        <v>34.5</v>
      </c>
      <c r="J17" s="9">
        <f>SUM(November[8])</f>
        <v>35</v>
      </c>
      <c r="K17" s="9">
        <f>SUM(November[9])</f>
        <v>43.5</v>
      </c>
      <c r="L17" s="9">
        <f>SUM(November[10])</f>
        <v>0</v>
      </c>
      <c r="M17" s="9">
        <f>SUM(November[11])</f>
        <v>31.5</v>
      </c>
      <c r="N17" s="9">
        <f>SUM(November[12])</f>
        <v>3.5</v>
      </c>
      <c r="O17" s="9">
        <f>SUM(November[13])</f>
        <v>3.5</v>
      </c>
      <c r="P17" s="9">
        <f>SUM(November[14])</f>
        <v>30.5</v>
      </c>
      <c r="Q17" s="9">
        <f>SUM(November[15])</f>
        <v>35</v>
      </c>
      <c r="R17" s="9">
        <f>SUM(November[16])</f>
        <v>38.5</v>
      </c>
      <c r="S17" s="9">
        <f>SUM(November[17])</f>
        <v>0</v>
      </c>
      <c r="T17" s="9">
        <f>SUM(November[18])</f>
        <v>4</v>
      </c>
      <c r="U17" s="9">
        <f>SUM(November[19])</f>
        <v>7.5</v>
      </c>
      <c r="V17" s="9">
        <f>SUM(November[20])</f>
        <v>4</v>
      </c>
      <c r="W17" s="9">
        <f>SUM(November[21])</f>
        <v>36.5</v>
      </c>
      <c r="X17" s="9">
        <f>SUM(November[22])</f>
        <v>43.5</v>
      </c>
      <c r="Y17" s="9">
        <f>SUM(November[23])</f>
        <v>44</v>
      </c>
      <c r="Z17" s="9">
        <f>SUM(November[24])</f>
        <v>0</v>
      </c>
      <c r="AA17" s="9">
        <f>SUM(November[25])</f>
        <v>3.5</v>
      </c>
      <c r="AB17" s="9">
        <f>SUM(November[26])</f>
        <v>4</v>
      </c>
      <c r="AC17" s="9">
        <f>SUM(November[27])</f>
        <v>0</v>
      </c>
      <c r="AD17" s="9">
        <f>SUM(November[28])</f>
        <v>26</v>
      </c>
      <c r="AE17" s="9">
        <f>SUM(November[29])</f>
        <v>38.5</v>
      </c>
      <c r="AF17" s="9">
        <f>SUM(November[30])</f>
        <v>43.5</v>
      </c>
      <c r="AG17" s="9">
        <f>SUM(November[[ ]])</f>
        <v>0</v>
      </c>
      <c r="AH17" s="9">
        <f>SUBTOTAL(109,November[Totaal aantal uren])</f>
        <v>600.5</v>
      </c>
    </row>
  </sheetData>
  <mergeCells count="6">
    <mergeCell ref="C4:AG4"/>
    <mergeCell ref="D2:F2"/>
    <mergeCell ref="H2:J2"/>
    <mergeCell ref="L2:M2"/>
    <mergeCell ref="O2:Q2"/>
    <mergeCell ref="S2:U2"/>
  </mergeCells>
  <conditionalFormatting sqref="C7:E16 I7:L16 P7:S16 W7:Z16 AD7:AG16 F8:H16 M8:O16 T8:V16 AA8:AC16">
    <cfRule type="expression" dxfId="112" priority="198" stopIfTrue="1">
      <formula>C7=KeyVacation</formula>
    </cfRule>
    <cfRule type="expression" dxfId="111" priority="197" stopIfTrue="1">
      <formula>C7=KeyPersonal</formula>
    </cfRule>
    <cfRule type="expression" dxfId="110" priority="196" stopIfTrue="1">
      <formula>C7=KeySick</formula>
    </cfRule>
    <cfRule type="expression" dxfId="109" priority="195" stopIfTrue="1">
      <formula>C7=KeyCustom1</formula>
    </cfRule>
    <cfRule type="expression" dxfId="108" priority="194" stopIfTrue="1">
      <formula>C7=KeyCustom2</formula>
    </cfRule>
    <cfRule type="expression" priority="193" stopIfTrue="1">
      <formula>C7=""</formula>
    </cfRule>
  </conditionalFormatting>
  <conditionalFormatting sqref="F7">
    <cfRule type="expression" dxfId="107" priority="90" stopIfTrue="1">
      <formula>F7=KeyVacation</formula>
    </cfRule>
    <cfRule type="expression" dxfId="106" priority="89" stopIfTrue="1">
      <formula>F7=KeyPersonal</formula>
    </cfRule>
    <cfRule type="expression" dxfId="105" priority="88" stopIfTrue="1">
      <formula>F7=KeySick</formula>
    </cfRule>
    <cfRule type="expression" dxfId="104" priority="87" stopIfTrue="1">
      <formula>F7=KeyCustom1</formula>
    </cfRule>
    <cfRule type="expression" dxfId="103" priority="86" stopIfTrue="1">
      <formula>F7=KeyCustom2</formula>
    </cfRule>
    <cfRule type="expression" priority="85" stopIfTrue="1">
      <formula>F7=""</formula>
    </cfRule>
  </conditionalFormatting>
  <conditionalFormatting sqref="G7:H7">
    <cfRule type="expression" priority="91" stopIfTrue="1">
      <formula>G7=""</formula>
    </cfRule>
    <cfRule type="expression" dxfId="102" priority="96" stopIfTrue="1">
      <formula>G7=KeyVacation</formula>
    </cfRule>
    <cfRule type="expression" dxfId="101" priority="95" stopIfTrue="1">
      <formula>G7=KeyPersonal</formula>
    </cfRule>
    <cfRule type="expression" dxfId="100" priority="94" stopIfTrue="1">
      <formula>G7=KeySick</formula>
    </cfRule>
    <cfRule type="expression" dxfId="99" priority="93" stopIfTrue="1">
      <formula>G7=KeyCustom1</formula>
    </cfRule>
    <cfRule type="expression" dxfId="98" priority="92" stopIfTrue="1">
      <formula>G7=KeyCustom2</formula>
    </cfRule>
  </conditionalFormatting>
  <conditionalFormatting sqref="M7">
    <cfRule type="expression" priority="67" stopIfTrue="1">
      <formula>M7=""</formula>
    </cfRule>
    <cfRule type="expression" dxfId="97" priority="68" stopIfTrue="1">
      <formula>M7=KeyCustom2</formula>
    </cfRule>
    <cfRule type="expression" dxfId="96" priority="69" stopIfTrue="1">
      <formula>M7=KeyCustom1</formula>
    </cfRule>
    <cfRule type="expression" dxfId="95" priority="70" stopIfTrue="1">
      <formula>M7=KeySick</formula>
    </cfRule>
    <cfRule type="expression" dxfId="94" priority="72" stopIfTrue="1">
      <formula>M7=KeyVacation</formula>
    </cfRule>
    <cfRule type="expression" dxfId="93" priority="71" stopIfTrue="1">
      <formula>M7=KeyPersonal</formula>
    </cfRule>
  </conditionalFormatting>
  <conditionalFormatting sqref="N7:O7">
    <cfRule type="expression" dxfId="92" priority="75" stopIfTrue="1">
      <formula>N7=KeyCustom1</formula>
    </cfRule>
    <cfRule type="expression" dxfId="91" priority="77" stopIfTrue="1">
      <formula>N7=KeyPersonal</formula>
    </cfRule>
    <cfRule type="expression" dxfId="90" priority="78" stopIfTrue="1">
      <formula>N7=KeyVacation</formula>
    </cfRule>
    <cfRule type="expression" dxfId="89" priority="76" stopIfTrue="1">
      <formula>N7=KeySick</formula>
    </cfRule>
    <cfRule type="expression" priority="73" stopIfTrue="1">
      <formula>N7=""</formula>
    </cfRule>
    <cfRule type="expression" dxfId="88" priority="74" stopIfTrue="1">
      <formula>N7=KeyCustom2</formula>
    </cfRule>
  </conditionalFormatting>
  <conditionalFormatting sqref="T7">
    <cfRule type="expression" priority="49" stopIfTrue="1">
      <formula>T7=""</formula>
    </cfRule>
    <cfRule type="expression" dxfId="87" priority="54" stopIfTrue="1">
      <formula>T7=KeyVacation</formula>
    </cfRule>
    <cfRule type="expression" dxfId="86" priority="53" stopIfTrue="1">
      <formula>T7=KeyPersonal</formula>
    </cfRule>
    <cfRule type="expression" dxfId="85" priority="52" stopIfTrue="1">
      <formula>T7=KeySick</formula>
    </cfRule>
    <cfRule type="expression" dxfId="84" priority="51" stopIfTrue="1">
      <formula>T7=KeyCustom1</formula>
    </cfRule>
    <cfRule type="expression" dxfId="83" priority="50" stopIfTrue="1">
      <formula>T7=KeyCustom2</formula>
    </cfRule>
  </conditionalFormatting>
  <conditionalFormatting sqref="U7:V7">
    <cfRule type="expression" dxfId="82" priority="58" stopIfTrue="1">
      <formula>U7=KeySick</formula>
    </cfRule>
    <cfRule type="expression" dxfId="81" priority="59" stopIfTrue="1">
      <formula>U7=KeyPersonal</formula>
    </cfRule>
    <cfRule type="expression" dxfId="80" priority="60" stopIfTrue="1">
      <formula>U7=KeyVacation</formula>
    </cfRule>
    <cfRule type="expression" dxfId="79" priority="57" stopIfTrue="1">
      <formula>U7=KeyCustom1</formula>
    </cfRule>
    <cfRule type="expression" dxfId="78" priority="56" stopIfTrue="1">
      <formula>U7=KeyCustom2</formula>
    </cfRule>
    <cfRule type="expression" priority="55" stopIfTrue="1">
      <formula>U7=""</formula>
    </cfRule>
  </conditionalFormatting>
  <conditionalFormatting sqref="AA7">
    <cfRule type="expression" dxfId="77" priority="32" stopIfTrue="1">
      <formula>AA7=KeyCustom2</formula>
    </cfRule>
    <cfRule type="expression" dxfId="76" priority="33" stopIfTrue="1">
      <formula>AA7=KeyCustom1</formula>
    </cfRule>
    <cfRule type="expression" priority="31" stopIfTrue="1">
      <formula>AA7=""</formula>
    </cfRule>
    <cfRule type="expression" dxfId="75" priority="36" stopIfTrue="1">
      <formula>AA7=KeyVacation</formula>
    </cfRule>
    <cfRule type="expression" dxfId="74" priority="35" stopIfTrue="1">
      <formula>AA7=KeyPersonal</formula>
    </cfRule>
    <cfRule type="expression" dxfId="73" priority="34" stopIfTrue="1">
      <formula>AA7=KeySick</formula>
    </cfRule>
  </conditionalFormatting>
  <conditionalFormatting sqref="AB7:AC7">
    <cfRule type="expression" priority="37" stopIfTrue="1">
      <formula>AB7=""</formula>
    </cfRule>
    <cfRule type="expression" dxfId="72" priority="42" stopIfTrue="1">
      <formula>AB7=KeyVacation</formula>
    </cfRule>
    <cfRule type="expression" dxfId="71" priority="41" stopIfTrue="1">
      <formula>AB7=KeyPersonal</formula>
    </cfRule>
    <cfRule type="expression" dxfId="70" priority="40" stopIfTrue="1">
      <formula>AB7=KeySick</formula>
    </cfRule>
    <cfRule type="expression" dxfId="69" priority="39" stopIfTrue="1">
      <formula>AB7=KeyCustom1</formula>
    </cfRule>
    <cfRule type="expression" dxfId="68" priority="38" stopIfTrue="1">
      <formula>AB7=KeyCustom2</formula>
    </cfRule>
  </conditionalFormatting>
  <conditionalFormatting sqref="AH7:AH16">
    <cfRule type="dataBar" priority="199">
      <dataBar>
        <cfvo type="num" val="0"/>
        <cfvo type="num" val="31"/>
        <color theme="2" tint="-0.249977111117893"/>
      </dataBar>
      <extLst>
        <ext xmlns:x14="http://schemas.microsoft.com/office/spreadsheetml/2009/9/main" uri="{B025F937-C7B1-47D3-B67F-A62EFF666E3E}">
          <x14:id>{82B15D8C-1D14-404B-BA65-4AB69DA1CAEC}</x14:id>
        </ext>
      </extLst>
    </cfRule>
  </conditionalFormatting>
  <dataValidations count="14">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A00-000000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A00-000001000000}"/>
    <dataValidation allowBlank="1" showInputMessage="1" showErrorMessage="1" prompt="Deze rij definieert de sleutels die worden gebruikt in de tabel: cel C2 is Vakantie, G2 is Persoonlijk en K2 is Ziekteverlof. De cellen N2 en R2 kunnen worden aangepast" sqref="B2" xr:uid="{00000000-0002-0000-0A00-000002000000}"/>
    <dataValidation allowBlank="1" showInputMessage="1" showErrorMessage="1" prompt="Voer links een label in om de aangepaste sleutel te beschrijven" sqref="O2:Q2 S2:U2" xr:uid="{00000000-0002-0000-0A00-000003000000}"/>
    <dataValidation allowBlank="1" showInputMessage="1" showErrorMessage="1" prompt="Voer een letter in en pas rechts het label aan om een ander sleutelitem toe te voegen" sqref="N2 R2" xr:uid="{00000000-0002-0000-0A00-000004000000}"/>
    <dataValidation allowBlank="1" showInputMessage="1" showErrorMessage="1" prompt="De letter &quot;Z&quot; geeft afwezigheid vanwege ziekte aan" sqref="K2" xr:uid="{00000000-0002-0000-0A00-000005000000}"/>
    <dataValidation allowBlank="1" showInputMessage="1" showErrorMessage="1" prompt="De letter &quot;P&quot; geeft afwezigheid vanwege persoonlijke redenen aan" sqref="G2" xr:uid="{00000000-0002-0000-0A00-000006000000}"/>
    <dataValidation allowBlank="1" showInputMessage="1" showErrorMessage="1" prompt="De letter &quot;V&quot; geeft afwezigheid vanwege vakantie aan" sqref="C2" xr:uid="{00000000-0002-0000-0A00-000007000000}"/>
    <dataValidation allowBlank="1" showInputMessage="1" showErrorMessage="1" prompt="De titel wordt automatisch bijgewerkt in deze cel. Als u de titel wilt wijzigen, werk B1 in het januari-werkblad bij" sqref="B1" xr:uid="{00000000-0002-0000-0A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A00-000009000000}"/>
    <dataValidation allowBlank="1" showInputMessage="1" showErrorMessage="1" prompt="Houd de afwezigheid in november in dit werkblad bij" sqref="A1" xr:uid="{00000000-0002-0000-0A00-00000A000000}"/>
    <dataValidation allowBlank="1" showInputMessage="1" showErrorMessage="1" prompt="Berekent automatisch het totaal aantal dagen die een werknemer in deze maand niet aanwezig was in deze kolom" sqref="AH6" xr:uid="{00000000-0002-0000-0A00-00000B000000}"/>
    <dataValidation allowBlank="1" showInputMessage="1" showErrorMessage="1" prompt="Automatisch bijgewerkt jaar op basis van het jaar dat in het werkblad januari is ingevoerd" sqref="AH4" xr:uid="{00000000-0002-0000-0A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A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2B15D8C-1D14-404B-BA65-4AB69DA1CAEC}">
            <x14:dataBar minLength="0" maxLength="100">
              <x14:cfvo type="num">
                <xm:f>0</xm:f>
              </x14:cfvo>
              <x14:cfvo type="num">
                <xm:f>31</xm:f>
              </x14:cfvo>
              <x14:negativeFillColor rgb="FFFF0000"/>
              <x14:axisColor rgb="FF000000"/>
            </x14:dataBar>
          </x14:cfRule>
          <xm:sqref>AH7:AH16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tabColor theme="7" tint="0.79998168889431442"/>
    <pageSetUpPr fitToPage="1"/>
  </sheetPr>
  <dimension ref="B1:AH17"/>
  <sheetViews>
    <sheetView showGridLines="0" tabSelected="1" zoomScaleNormal="100" workbookViewId="0">
      <selection activeCell="AC14" sqref="AC14"/>
    </sheetView>
  </sheetViews>
  <sheetFormatPr defaultRowHeight="30" customHeight="1" x14ac:dyDescent="0.25"/>
  <cols>
    <col min="1" max="1" width="2.5703125" customWidth="1"/>
    <col min="2" max="2" width="25.7109375" customWidth="1"/>
    <col min="3" max="33" width="4.7109375" customWidth="1"/>
    <col min="34" max="34" width="20.7109375" customWidth="1"/>
    <col min="35" max="35" width="2.7109375" customWidth="1"/>
  </cols>
  <sheetData>
    <row r="1" spans="2:34" ht="50.1" customHeight="1" x14ac:dyDescent="0.25">
      <c r="B1" s="10" t="str">
        <f>Employee_Absence_Title</f>
        <v xml:space="preserve">Afwezigheidsplanning Werknemers </v>
      </c>
    </row>
    <row r="2" spans="2:34" ht="15" customHeight="1" x14ac:dyDescent="0.25">
      <c r="B2" s="14" t="s">
        <v>1</v>
      </c>
      <c r="C2" s="2" t="s">
        <v>4</v>
      </c>
      <c r="D2" s="25" t="s">
        <v>7</v>
      </c>
      <c r="E2" s="25"/>
      <c r="F2" s="25"/>
      <c r="G2" s="3" t="s">
        <v>10</v>
      </c>
      <c r="H2" s="25" t="s">
        <v>14</v>
      </c>
      <c r="I2" s="25"/>
      <c r="J2" s="25"/>
      <c r="K2" s="4" t="s">
        <v>12</v>
      </c>
      <c r="L2" s="25" t="s">
        <v>19</v>
      </c>
      <c r="M2" s="25"/>
      <c r="N2" s="5"/>
      <c r="O2" s="25" t="s">
        <v>23</v>
      </c>
      <c r="P2" s="25"/>
      <c r="Q2" s="25"/>
      <c r="R2" s="6"/>
      <c r="S2" s="25" t="s">
        <v>28</v>
      </c>
      <c r="T2" s="25"/>
      <c r="U2" s="25"/>
    </row>
    <row r="3" spans="2:34" ht="15" customHeight="1" x14ac:dyDescent="0.25">
      <c r="B3" s="10"/>
    </row>
    <row r="4" spans="2:34" ht="30" customHeight="1" x14ac:dyDescent="0.25">
      <c r="B4" s="8" t="s">
        <v>56</v>
      </c>
      <c r="C4" s="24" t="s">
        <v>5</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8">
        <f>CalendarYear</f>
        <v>2025</v>
      </c>
    </row>
    <row r="5" spans="2:34" ht="15" customHeight="1" x14ac:dyDescent="0.25">
      <c r="B5" s="8"/>
      <c r="C5" s="1" t="str">
        <f>TEXT(WEEKDAY(DATE(CalendarYear,12,1),1),"aaa")</f>
        <v>ma</v>
      </c>
      <c r="D5" s="1" t="str">
        <f>TEXT(WEEKDAY(DATE(CalendarYear,12,2),1),"aaa")</f>
        <v>di</v>
      </c>
      <c r="E5" s="1" t="str">
        <f>TEXT(WEEKDAY(DATE(CalendarYear,12,3),1),"aaa")</f>
        <v>wo</v>
      </c>
      <c r="F5" s="1" t="str">
        <f>TEXT(WEEKDAY(DATE(CalendarYear,12,4),1),"aaa")</f>
        <v>do</v>
      </c>
      <c r="G5" s="1" t="str">
        <f>TEXT(WEEKDAY(DATE(CalendarYear,12,5),1),"aaa")</f>
        <v>vr</v>
      </c>
      <c r="H5" s="1" t="str">
        <f>TEXT(WEEKDAY(DATE(CalendarYear,12,6),1),"aaa")</f>
        <v>za</v>
      </c>
      <c r="I5" s="1" t="str">
        <f>TEXT(WEEKDAY(DATE(CalendarYear,12,7),1),"aaa")</f>
        <v>zo</v>
      </c>
      <c r="J5" s="1" t="str">
        <f>TEXT(WEEKDAY(DATE(CalendarYear,12,8),1),"aaa")</f>
        <v>ma</v>
      </c>
      <c r="K5" s="1" t="str">
        <f>TEXT(WEEKDAY(DATE(CalendarYear,12,9),1),"aaa")</f>
        <v>di</v>
      </c>
      <c r="L5" s="1" t="str">
        <f>TEXT(WEEKDAY(DATE(CalendarYear,12,10),1),"aaa")</f>
        <v>wo</v>
      </c>
      <c r="M5" s="1" t="str">
        <f>TEXT(WEEKDAY(DATE(CalendarYear,12,11),1),"aaa")</f>
        <v>do</v>
      </c>
      <c r="N5" s="1" t="str">
        <f>TEXT(WEEKDAY(DATE(CalendarYear,12,12),1),"aaa")</f>
        <v>vr</v>
      </c>
      <c r="O5" s="1" t="str">
        <f>TEXT(WEEKDAY(DATE(CalendarYear,12,13),1),"aaa")</f>
        <v>za</v>
      </c>
      <c r="P5" s="1" t="str">
        <f>TEXT(WEEKDAY(DATE(CalendarYear,12,14),1),"aaa")</f>
        <v>zo</v>
      </c>
      <c r="Q5" s="1" t="str">
        <f>TEXT(WEEKDAY(DATE(CalendarYear,12,15),1),"aaa")</f>
        <v>ma</v>
      </c>
      <c r="R5" s="1" t="str">
        <f>TEXT(WEEKDAY(DATE(CalendarYear,12,16),1),"aaa")</f>
        <v>di</v>
      </c>
      <c r="S5" s="1" t="str">
        <f>TEXT(WEEKDAY(DATE(CalendarYear,12,17),1),"aaa")</f>
        <v>wo</v>
      </c>
      <c r="T5" s="1" t="str">
        <f>TEXT(WEEKDAY(DATE(CalendarYear,12,18),1),"aaa")</f>
        <v>do</v>
      </c>
      <c r="U5" s="1" t="str">
        <f>TEXT(WEEKDAY(DATE(CalendarYear,12,19),1),"aaa")</f>
        <v>vr</v>
      </c>
      <c r="V5" s="1" t="str">
        <f>TEXT(WEEKDAY(DATE(CalendarYear,12,20),1),"aaa")</f>
        <v>za</v>
      </c>
      <c r="W5" s="1" t="str">
        <f>TEXT(WEEKDAY(DATE(CalendarYear,12,21),1),"aaa")</f>
        <v>zo</v>
      </c>
      <c r="X5" s="1" t="str">
        <f>TEXT(WEEKDAY(DATE(CalendarYear,12,22),1),"aaa")</f>
        <v>ma</v>
      </c>
      <c r="Y5" s="1" t="str">
        <f>TEXT(WEEKDAY(DATE(CalendarYear,12,23),1),"aaa")</f>
        <v>di</v>
      </c>
      <c r="Z5" s="1" t="str">
        <f>TEXT(WEEKDAY(DATE(CalendarYear,12,24),1),"aaa")</f>
        <v>wo</v>
      </c>
      <c r="AA5" s="1" t="str">
        <f>TEXT(WEEKDAY(DATE(CalendarYear,12,25),1),"aaa")</f>
        <v>do</v>
      </c>
      <c r="AB5" s="1" t="str">
        <f>TEXT(WEEKDAY(DATE(CalendarYear,12,26),1),"aaa")</f>
        <v>vr</v>
      </c>
      <c r="AC5" s="1" t="str">
        <f>TEXT(WEEKDAY(DATE(CalendarYear,12,27),1),"aaa")</f>
        <v>za</v>
      </c>
      <c r="AD5" s="1" t="str">
        <f>TEXT(WEEKDAY(DATE(CalendarYear,12,28),1),"aaa")</f>
        <v>zo</v>
      </c>
      <c r="AE5" s="1" t="str">
        <f>TEXT(WEEKDAY(DATE(CalendarYear,12,29),1),"aaa")</f>
        <v>ma</v>
      </c>
      <c r="AF5" s="1" t="str">
        <f>TEXT(WEEKDAY(DATE(CalendarYear,12,30),1),"aaa")</f>
        <v>di</v>
      </c>
      <c r="AG5" s="1" t="str">
        <f>TEXT(WEEKDAY(DATE(CalendarYear,12,31),1),"aaa")</f>
        <v>wo</v>
      </c>
      <c r="AH5" s="8"/>
    </row>
    <row r="6" spans="2:34" ht="15" customHeight="1" x14ac:dyDescent="0.25">
      <c r="B6" s="11" t="s">
        <v>3</v>
      </c>
      <c r="C6" s="1" t="s">
        <v>6</v>
      </c>
      <c r="D6" s="1" t="s">
        <v>8</v>
      </c>
      <c r="E6" s="1" t="s">
        <v>9</v>
      </c>
      <c r="F6" s="1" t="s">
        <v>11</v>
      </c>
      <c r="G6" s="1" t="s">
        <v>13</v>
      </c>
      <c r="H6" s="1" t="s">
        <v>15</v>
      </c>
      <c r="I6" s="1" t="s">
        <v>16</v>
      </c>
      <c r="J6" s="1" t="s">
        <v>17</v>
      </c>
      <c r="K6" s="1" t="s">
        <v>18</v>
      </c>
      <c r="L6" s="1" t="s">
        <v>20</v>
      </c>
      <c r="M6" s="1" t="s">
        <v>21</v>
      </c>
      <c r="N6" s="1" t="s">
        <v>22</v>
      </c>
      <c r="O6" s="1" t="s">
        <v>24</v>
      </c>
      <c r="P6" s="1" t="s">
        <v>25</v>
      </c>
      <c r="Q6" s="1" t="s">
        <v>26</v>
      </c>
      <c r="R6" s="1" t="s">
        <v>27</v>
      </c>
      <c r="S6" s="1" t="s">
        <v>29</v>
      </c>
      <c r="T6" s="1" t="s">
        <v>30</v>
      </c>
      <c r="U6" s="1" t="s">
        <v>31</v>
      </c>
      <c r="V6" s="1" t="s">
        <v>32</v>
      </c>
      <c r="W6" s="1" t="s">
        <v>33</v>
      </c>
      <c r="X6" s="1" t="s">
        <v>34</v>
      </c>
      <c r="Y6" s="1" t="s">
        <v>35</v>
      </c>
      <c r="Z6" s="1" t="s">
        <v>36</v>
      </c>
      <c r="AA6" s="1" t="s">
        <v>37</v>
      </c>
      <c r="AB6" s="1" t="s">
        <v>38</v>
      </c>
      <c r="AC6" s="1" t="s">
        <v>39</v>
      </c>
      <c r="AD6" s="1" t="s">
        <v>40</v>
      </c>
      <c r="AE6" s="1" t="s">
        <v>41</v>
      </c>
      <c r="AF6" s="1" t="s">
        <v>42</v>
      </c>
      <c r="AG6" s="1" t="s">
        <v>43</v>
      </c>
      <c r="AH6" s="12" t="s">
        <v>68</v>
      </c>
    </row>
    <row r="7" spans="2:34" ht="30" customHeight="1" x14ac:dyDescent="0.25">
      <c r="B7" t="s">
        <v>65</v>
      </c>
      <c r="C7" s="1" t="s">
        <v>4</v>
      </c>
      <c r="D7" s="1" t="s">
        <v>67</v>
      </c>
      <c r="E7" s="1" t="s">
        <v>67</v>
      </c>
      <c r="F7" s="1" t="s">
        <v>67</v>
      </c>
      <c r="G7" s="1">
        <v>3.5</v>
      </c>
      <c r="H7" s="1">
        <v>3.5</v>
      </c>
      <c r="I7" s="1">
        <v>3.5</v>
      </c>
      <c r="J7" s="1" t="s">
        <v>4</v>
      </c>
      <c r="K7" s="1" t="s">
        <v>67</v>
      </c>
      <c r="L7" s="1" t="s">
        <v>67</v>
      </c>
      <c r="M7" s="1" t="s">
        <v>67</v>
      </c>
      <c r="N7" s="1">
        <v>3</v>
      </c>
      <c r="O7" s="1">
        <v>3.5</v>
      </c>
      <c r="P7" s="1">
        <v>3.5</v>
      </c>
      <c r="Q7" s="1" t="s">
        <v>4</v>
      </c>
      <c r="R7" s="1" t="s">
        <v>67</v>
      </c>
      <c r="S7" s="1" t="s">
        <v>67</v>
      </c>
      <c r="T7" s="1" t="s">
        <v>67</v>
      </c>
      <c r="U7" s="1">
        <v>3.5</v>
      </c>
      <c r="V7" s="1">
        <v>3.5</v>
      </c>
      <c r="W7" s="1">
        <v>3.5</v>
      </c>
      <c r="X7" s="1" t="s">
        <v>4</v>
      </c>
      <c r="Y7" s="1" t="s">
        <v>67</v>
      </c>
      <c r="Z7" s="1" t="s">
        <v>4</v>
      </c>
      <c r="AA7" s="1" t="s">
        <v>4</v>
      </c>
      <c r="AB7" s="1">
        <v>3.5</v>
      </c>
      <c r="AC7" s="1">
        <v>3.5</v>
      </c>
      <c r="AD7" s="1">
        <v>3.5</v>
      </c>
      <c r="AE7" s="1" t="s">
        <v>4</v>
      </c>
      <c r="AF7" s="1"/>
      <c r="AG7" s="1" t="s">
        <v>4</v>
      </c>
      <c r="AH7" s="7">
        <f>SUM(December[[#This Row],[1]:[31]])</f>
        <v>41.5</v>
      </c>
    </row>
    <row r="8" spans="2:34" ht="30" customHeight="1" x14ac:dyDescent="0.25">
      <c r="B8" t="s">
        <v>61</v>
      </c>
      <c r="C8" s="1" t="s">
        <v>4</v>
      </c>
      <c r="D8" s="1" t="s">
        <v>67</v>
      </c>
      <c r="E8" s="1" t="s">
        <v>67</v>
      </c>
      <c r="F8" s="1" t="s">
        <v>67</v>
      </c>
      <c r="G8" s="1" t="s">
        <v>67</v>
      </c>
      <c r="H8" s="1">
        <v>5</v>
      </c>
      <c r="I8" s="1" t="s">
        <v>67</v>
      </c>
      <c r="J8" s="1" t="s">
        <v>4</v>
      </c>
      <c r="K8" s="1" t="s">
        <v>67</v>
      </c>
      <c r="L8" s="1" t="s">
        <v>67</v>
      </c>
      <c r="M8" s="1" t="s">
        <v>67</v>
      </c>
      <c r="N8" s="1" t="s">
        <v>67</v>
      </c>
      <c r="O8" s="1">
        <v>5</v>
      </c>
      <c r="P8" s="1">
        <v>5</v>
      </c>
      <c r="Q8" s="1" t="s">
        <v>4</v>
      </c>
      <c r="R8" s="1" t="s">
        <v>67</v>
      </c>
      <c r="S8" s="1" t="s">
        <v>67</v>
      </c>
      <c r="T8" s="1" t="s">
        <v>67</v>
      </c>
      <c r="U8" s="1" t="s">
        <v>67</v>
      </c>
      <c r="V8" s="1" t="s">
        <v>67</v>
      </c>
      <c r="W8" s="1" t="s">
        <v>67</v>
      </c>
      <c r="X8" s="1" t="s">
        <v>4</v>
      </c>
      <c r="Y8" s="1" t="s">
        <v>67</v>
      </c>
      <c r="Z8" s="1" t="s">
        <v>4</v>
      </c>
      <c r="AA8" s="1" t="s">
        <v>67</v>
      </c>
      <c r="AB8" s="1"/>
      <c r="AC8" s="1"/>
      <c r="AD8" s="1"/>
      <c r="AE8" s="1" t="s">
        <v>4</v>
      </c>
      <c r="AF8" s="1"/>
      <c r="AG8" s="1" t="s">
        <v>4</v>
      </c>
      <c r="AH8" s="7">
        <f>SUM(December[[#This Row],[1]:[31]])</f>
        <v>15</v>
      </c>
    </row>
    <row r="9" spans="2:34" ht="30" customHeight="1" x14ac:dyDescent="0.25">
      <c r="B9" s="20" t="s">
        <v>76</v>
      </c>
      <c r="C9" s="1" t="s">
        <v>4</v>
      </c>
      <c r="D9" s="1" t="s">
        <v>67</v>
      </c>
      <c r="E9" s="1" t="s">
        <v>67</v>
      </c>
      <c r="F9" s="1" t="s">
        <v>67</v>
      </c>
      <c r="G9" s="1">
        <v>5</v>
      </c>
      <c r="H9" s="1">
        <v>5</v>
      </c>
      <c r="I9" s="1">
        <v>5</v>
      </c>
      <c r="J9" s="1" t="s">
        <v>4</v>
      </c>
      <c r="K9" s="1" t="s">
        <v>67</v>
      </c>
      <c r="L9" s="1" t="s">
        <v>67</v>
      </c>
      <c r="M9" s="1" t="s">
        <v>67</v>
      </c>
      <c r="N9" s="1">
        <v>5</v>
      </c>
      <c r="O9" s="1">
        <v>5</v>
      </c>
      <c r="P9" s="1">
        <v>5</v>
      </c>
      <c r="Q9" s="1" t="s">
        <v>4</v>
      </c>
      <c r="R9" s="1" t="s">
        <v>67</v>
      </c>
      <c r="S9" s="1" t="s">
        <v>67</v>
      </c>
      <c r="T9" s="1" t="s">
        <v>67</v>
      </c>
      <c r="U9" s="1">
        <v>5</v>
      </c>
      <c r="V9" s="1">
        <v>4</v>
      </c>
      <c r="W9" s="1">
        <v>5</v>
      </c>
      <c r="X9" s="1" t="s">
        <v>4</v>
      </c>
      <c r="Y9" s="1" t="s">
        <v>67</v>
      </c>
      <c r="Z9" s="1" t="s">
        <v>4</v>
      </c>
      <c r="AA9" s="1">
        <v>5</v>
      </c>
      <c r="AB9" s="1">
        <v>5</v>
      </c>
      <c r="AC9" s="1">
        <v>5</v>
      </c>
      <c r="AD9" s="1">
        <v>5</v>
      </c>
      <c r="AE9" s="1" t="s">
        <v>4</v>
      </c>
      <c r="AF9" s="1"/>
      <c r="AG9" s="1" t="s">
        <v>4</v>
      </c>
      <c r="AH9" s="7">
        <f>SUM(December[[#This Row],[1]:[31]])</f>
        <v>64</v>
      </c>
    </row>
    <row r="10" spans="2:34" ht="30" customHeight="1" x14ac:dyDescent="0.25">
      <c r="B10" t="s">
        <v>64</v>
      </c>
      <c r="C10" s="1" t="s">
        <v>4</v>
      </c>
      <c r="D10" s="1" t="s">
        <v>67</v>
      </c>
      <c r="E10" s="1">
        <v>4</v>
      </c>
      <c r="F10" s="1">
        <v>4</v>
      </c>
      <c r="G10" s="1">
        <v>4</v>
      </c>
      <c r="H10" s="1">
        <v>4</v>
      </c>
      <c r="I10" s="1">
        <v>4</v>
      </c>
      <c r="J10" s="1" t="s">
        <v>4</v>
      </c>
      <c r="K10" s="1" t="s">
        <v>67</v>
      </c>
      <c r="L10" s="1" t="s">
        <v>67</v>
      </c>
      <c r="M10" s="1" t="s">
        <v>67</v>
      </c>
      <c r="N10" s="1" t="s">
        <v>67</v>
      </c>
      <c r="O10" s="1">
        <v>4</v>
      </c>
      <c r="P10" s="1">
        <v>4</v>
      </c>
      <c r="Q10" s="1" t="s">
        <v>4</v>
      </c>
      <c r="R10" s="1" t="s">
        <v>67</v>
      </c>
      <c r="S10" s="1">
        <v>4</v>
      </c>
      <c r="T10" s="1">
        <v>4</v>
      </c>
      <c r="U10" s="1">
        <v>4</v>
      </c>
      <c r="V10" s="1">
        <v>3</v>
      </c>
      <c r="W10" s="1">
        <v>4</v>
      </c>
      <c r="X10" s="1" t="s">
        <v>4</v>
      </c>
      <c r="Y10" s="1" t="s">
        <v>67</v>
      </c>
      <c r="Z10" s="1" t="s">
        <v>4</v>
      </c>
      <c r="AA10" s="1">
        <v>4</v>
      </c>
      <c r="AB10" s="1" t="s">
        <v>67</v>
      </c>
      <c r="AC10" s="1">
        <v>4</v>
      </c>
      <c r="AD10" s="1">
        <v>4</v>
      </c>
      <c r="AE10" s="1" t="s">
        <v>4</v>
      </c>
      <c r="AF10" s="1"/>
      <c r="AG10" s="1" t="s">
        <v>4</v>
      </c>
      <c r="AH10" s="7">
        <f>SUM(December[[#This Row],[1]:[31]])</f>
        <v>59</v>
      </c>
    </row>
    <row r="11" spans="2:34" ht="30" customHeight="1" x14ac:dyDescent="0.25">
      <c r="B11" t="s">
        <v>71</v>
      </c>
      <c r="C11" s="1" t="s">
        <v>4</v>
      </c>
      <c r="D11" s="1" t="s">
        <v>67</v>
      </c>
      <c r="E11" s="1" t="s">
        <v>67</v>
      </c>
      <c r="F11" s="1" t="s">
        <v>67</v>
      </c>
      <c r="G11" s="1">
        <v>4</v>
      </c>
      <c r="H11" s="1">
        <v>4</v>
      </c>
      <c r="I11" s="1">
        <v>4</v>
      </c>
      <c r="J11" s="1" t="s">
        <v>4</v>
      </c>
      <c r="K11" s="1" t="s">
        <v>67</v>
      </c>
      <c r="L11" s="1" t="s">
        <v>67</v>
      </c>
      <c r="M11" s="1" t="s">
        <v>67</v>
      </c>
      <c r="N11" s="1">
        <v>4</v>
      </c>
      <c r="O11" s="1">
        <v>4</v>
      </c>
      <c r="P11" s="1">
        <v>4</v>
      </c>
      <c r="Q11" s="1" t="s">
        <v>4</v>
      </c>
      <c r="R11" s="1" t="s">
        <v>67</v>
      </c>
      <c r="S11" s="1" t="s">
        <v>67</v>
      </c>
      <c r="T11" s="1" t="s">
        <v>67</v>
      </c>
      <c r="U11" s="1">
        <v>4</v>
      </c>
      <c r="V11" s="1">
        <v>4</v>
      </c>
      <c r="W11" s="1">
        <v>4</v>
      </c>
      <c r="X11" s="1" t="s">
        <v>4</v>
      </c>
      <c r="Y11" s="1" t="s">
        <v>67</v>
      </c>
      <c r="Z11" s="1" t="s">
        <v>4</v>
      </c>
      <c r="AA11" s="1">
        <v>4</v>
      </c>
      <c r="AB11" s="1">
        <v>4</v>
      </c>
      <c r="AC11" s="1">
        <v>4</v>
      </c>
      <c r="AD11" s="1">
        <v>4</v>
      </c>
      <c r="AE11" s="1" t="s">
        <v>4</v>
      </c>
      <c r="AF11" s="1"/>
      <c r="AG11" s="1" t="s">
        <v>4</v>
      </c>
      <c r="AH11" s="7">
        <f>SUM(December[[#This Row],[1]:[31]])</f>
        <v>52</v>
      </c>
    </row>
    <row r="12" spans="2:34" ht="30" customHeight="1" x14ac:dyDescent="0.25">
      <c r="B12" t="s">
        <v>70</v>
      </c>
      <c r="C12" s="1" t="s">
        <v>4</v>
      </c>
      <c r="D12" s="1" t="s">
        <v>67</v>
      </c>
      <c r="E12" s="1" t="s">
        <v>67</v>
      </c>
      <c r="F12" s="1" t="s">
        <v>67</v>
      </c>
      <c r="G12" s="1">
        <v>5</v>
      </c>
      <c r="H12" s="1">
        <v>5</v>
      </c>
      <c r="I12" s="1">
        <v>5</v>
      </c>
      <c r="J12" s="1" t="s">
        <v>4</v>
      </c>
      <c r="K12" s="1" t="s">
        <v>67</v>
      </c>
      <c r="L12" s="1" t="s">
        <v>67</v>
      </c>
      <c r="M12" s="1" t="s">
        <v>67</v>
      </c>
      <c r="N12" s="1">
        <v>5</v>
      </c>
      <c r="O12" s="1">
        <v>5</v>
      </c>
      <c r="P12" s="1">
        <v>5</v>
      </c>
      <c r="Q12" s="1" t="s">
        <v>4</v>
      </c>
      <c r="R12" s="1" t="s">
        <v>67</v>
      </c>
      <c r="S12" s="1" t="s">
        <v>67</v>
      </c>
      <c r="T12" s="1" t="s">
        <v>67</v>
      </c>
      <c r="U12" s="1" t="s">
        <v>67</v>
      </c>
      <c r="V12" s="1" t="s">
        <v>67</v>
      </c>
      <c r="W12" s="1" t="s">
        <v>67</v>
      </c>
      <c r="X12" s="1" t="s">
        <v>4</v>
      </c>
      <c r="Y12" s="1" t="s">
        <v>67</v>
      </c>
      <c r="Z12" s="1" t="s">
        <v>4</v>
      </c>
      <c r="AA12" s="1">
        <v>5</v>
      </c>
      <c r="AB12" s="1" t="s">
        <v>67</v>
      </c>
      <c r="AC12" s="1" t="s">
        <v>67</v>
      </c>
      <c r="AD12" s="1" t="s">
        <v>67</v>
      </c>
      <c r="AE12" s="1" t="s">
        <v>4</v>
      </c>
      <c r="AF12" s="1"/>
      <c r="AG12" s="1" t="s">
        <v>4</v>
      </c>
      <c r="AH12" s="7">
        <f>SUM(December[[#This Row],[1]:[31]])</f>
        <v>35</v>
      </c>
    </row>
    <row r="13" spans="2:34" ht="30" customHeight="1" x14ac:dyDescent="0.25">
      <c r="B13" t="s">
        <v>63</v>
      </c>
      <c r="C13" s="1" t="s">
        <v>4</v>
      </c>
      <c r="D13" s="1">
        <v>3.5</v>
      </c>
      <c r="E13" s="1">
        <v>3.5</v>
      </c>
      <c r="F13" s="1" t="s">
        <v>67</v>
      </c>
      <c r="G13" s="1">
        <v>3.5</v>
      </c>
      <c r="H13" s="1" t="s">
        <v>4</v>
      </c>
      <c r="I13" s="1">
        <v>4</v>
      </c>
      <c r="J13" s="1" t="s">
        <v>4</v>
      </c>
      <c r="K13" s="1" t="s">
        <v>67</v>
      </c>
      <c r="L13" s="1" t="s">
        <v>67</v>
      </c>
      <c r="M13" s="1" t="s">
        <v>67</v>
      </c>
      <c r="N13" s="1" t="s">
        <v>67</v>
      </c>
      <c r="O13" s="1">
        <v>3.5</v>
      </c>
      <c r="P13" s="1">
        <v>3.5</v>
      </c>
      <c r="Q13" s="1" t="s">
        <v>4</v>
      </c>
      <c r="R13" s="1">
        <v>3.5</v>
      </c>
      <c r="S13" s="1">
        <v>3.5</v>
      </c>
      <c r="T13" s="1" t="s">
        <v>67</v>
      </c>
      <c r="U13" s="1">
        <v>3.5</v>
      </c>
      <c r="V13" s="1">
        <v>3.5</v>
      </c>
      <c r="W13" s="1">
        <v>3</v>
      </c>
      <c r="X13" s="1" t="s">
        <v>4</v>
      </c>
      <c r="Y13" s="1">
        <v>3.5</v>
      </c>
      <c r="Z13" s="1" t="s">
        <v>4</v>
      </c>
      <c r="AA13" s="1" t="s">
        <v>80</v>
      </c>
      <c r="AB13" s="1">
        <v>3.5</v>
      </c>
      <c r="AC13" s="1">
        <v>3.5</v>
      </c>
      <c r="AD13" s="1">
        <v>3.5</v>
      </c>
      <c r="AE13" s="1" t="s">
        <v>4</v>
      </c>
      <c r="AF13" s="1"/>
      <c r="AG13" s="1" t="s">
        <v>4</v>
      </c>
      <c r="AH13" s="7">
        <f>SUM(December[[#This Row],[1]:[31]])</f>
        <v>52.5</v>
      </c>
    </row>
    <row r="14" spans="2:34" ht="30" customHeight="1" x14ac:dyDescent="0.25">
      <c r="B14" t="s">
        <v>60</v>
      </c>
      <c r="C14" s="1" t="s">
        <v>4</v>
      </c>
      <c r="D14" s="1" t="s">
        <v>67</v>
      </c>
      <c r="E14" s="1" t="s">
        <v>67</v>
      </c>
      <c r="F14" s="1" t="s">
        <v>67</v>
      </c>
      <c r="G14" s="1">
        <v>5</v>
      </c>
      <c r="H14" s="1" t="s">
        <v>4</v>
      </c>
      <c r="I14" s="1">
        <v>5</v>
      </c>
      <c r="J14" s="1" t="s">
        <v>4</v>
      </c>
      <c r="K14" s="1" t="s">
        <v>67</v>
      </c>
      <c r="L14" s="1" t="s">
        <v>67</v>
      </c>
      <c r="M14" s="1" t="s">
        <v>67</v>
      </c>
      <c r="N14" s="1">
        <v>5</v>
      </c>
      <c r="O14" s="1" t="s">
        <v>67</v>
      </c>
      <c r="P14" s="1">
        <v>5</v>
      </c>
      <c r="Q14" s="1" t="s">
        <v>4</v>
      </c>
      <c r="R14" s="1" t="s">
        <v>67</v>
      </c>
      <c r="S14" s="1" t="s">
        <v>67</v>
      </c>
      <c r="T14" s="1" t="s">
        <v>67</v>
      </c>
      <c r="U14" s="1">
        <v>5</v>
      </c>
      <c r="V14" s="1" t="s">
        <v>67</v>
      </c>
      <c r="W14" s="1">
        <v>5</v>
      </c>
      <c r="X14" s="1" t="s">
        <v>4</v>
      </c>
      <c r="Y14" s="1" t="s">
        <v>67</v>
      </c>
      <c r="Z14" s="1" t="s">
        <v>4</v>
      </c>
      <c r="AA14" s="1" t="s">
        <v>67</v>
      </c>
      <c r="AB14" s="1"/>
      <c r="AC14" s="1"/>
      <c r="AD14" s="1"/>
      <c r="AE14" s="1" t="s">
        <v>4</v>
      </c>
      <c r="AF14" s="1"/>
      <c r="AG14" s="1" t="s">
        <v>4</v>
      </c>
      <c r="AH14" s="7">
        <f>SUM(December[[#This Row],[1]:[31]])</f>
        <v>30</v>
      </c>
    </row>
    <row r="15" spans="2:34" ht="30" customHeight="1" x14ac:dyDescent="0.25">
      <c r="B15" t="s">
        <v>62</v>
      </c>
      <c r="C15" s="1" t="s">
        <v>4</v>
      </c>
      <c r="D15" s="1" t="s">
        <v>67</v>
      </c>
      <c r="E15" s="1" t="s">
        <v>67</v>
      </c>
      <c r="F15" s="1" t="s">
        <v>67</v>
      </c>
      <c r="G15" s="1" t="s">
        <v>67</v>
      </c>
      <c r="H15" s="1">
        <v>3.5</v>
      </c>
      <c r="I15" s="1">
        <v>3.5</v>
      </c>
      <c r="J15" s="1" t="s">
        <v>4</v>
      </c>
      <c r="K15" s="1" t="s">
        <v>67</v>
      </c>
      <c r="L15" s="1" t="s">
        <v>67</v>
      </c>
      <c r="M15" s="1" t="s">
        <v>67</v>
      </c>
      <c r="N15" s="1" t="s">
        <v>67</v>
      </c>
      <c r="O15" s="1">
        <v>3.5</v>
      </c>
      <c r="P15" s="1">
        <v>3.5</v>
      </c>
      <c r="Q15" s="1" t="s">
        <v>4</v>
      </c>
      <c r="R15" s="1" t="s">
        <v>67</v>
      </c>
      <c r="S15" s="1" t="s">
        <v>67</v>
      </c>
      <c r="T15" s="1" t="s">
        <v>67</v>
      </c>
      <c r="U15" s="1" t="s">
        <v>67</v>
      </c>
      <c r="V15" s="1">
        <v>3.5</v>
      </c>
      <c r="W15" s="1">
        <v>3.5</v>
      </c>
      <c r="X15" s="1" t="s">
        <v>4</v>
      </c>
      <c r="Y15" s="1" t="s">
        <v>67</v>
      </c>
      <c r="Z15" s="1" t="s">
        <v>4</v>
      </c>
      <c r="AA15" s="1" t="s">
        <v>67</v>
      </c>
      <c r="AB15" s="1" t="s">
        <v>67</v>
      </c>
      <c r="AC15" s="1">
        <v>3.5</v>
      </c>
      <c r="AD15" s="1">
        <v>3.5</v>
      </c>
      <c r="AE15" s="1" t="s">
        <v>4</v>
      </c>
      <c r="AF15" s="1"/>
      <c r="AG15" s="1" t="s">
        <v>4</v>
      </c>
      <c r="AH15" s="7">
        <f>SUM(December[[#This Row],[1]:[31]])</f>
        <v>28</v>
      </c>
    </row>
    <row r="16" spans="2:34" ht="30" customHeight="1" x14ac:dyDescent="0.25">
      <c r="B16" s="19" t="s">
        <v>75</v>
      </c>
      <c r="C16" s="1" t="s">
        <v>4</v>
      </c>
      <c r="D16" s="1" t="s">
        <v>67</v>
      </c>
      <c r="E16" s="1" t="s">
        <v>67</v>
      </c>
      <c r="F16" s="1" t="s">
        <v>67</v>
      </c>
      <c r="G16" s="1">
        <v>5</v>
      </c>
      <c r="H16" s="1">
        <v>5</v>
      </c>
      <c r="I16" s="1">
        <v>5</v>
      </c>
      <c r="J16" s="1" t="s">
        <v>4</v>
      </c>
      <c r="K16" s="1" t="s">
        <v>67</v>
      </c>
      <c r="L16" s="1" t="s">
        <v>67</v>
      </c>
      <c r="M16" s="1" t="s">
        <v>67</v>
      </c>
      <c r="N16" s="1">
        <v>5</v>
      </c>
      <c r="O16" s="1">
        <v>5</v>
      </c>
      <c r="P16" s="1">
        <v>5</v>
      </c>
      <c r="Q16" s="1" t="s">
        <v>4</v>
      </c>
      <c r="R16" s="1" t="s">
        <v>67</v>
      </c>
      <c r="S16" s="1" t="s">
        <v>67</v>
      </c>
      <c r="T16" s="1" t="s">
        <v>67</v>
      </c>
      <c r="U16" s="1">
        <v>5</v>
      </c>
      <c r="V16" s="1">
        <v>4</v>
      </c>
      <c r="W16" s="1">
        <v>5</v>
      </c>
      <c r="X16" s="1" t="s">
        <v>4</v>
      </c>
      <c r="Y16" s="1" t="s">
        <v>67</v>
      </c>
      <c r="Z16" s="1" t="s">
        <v>4</v>
      </c>
      <c r="AA16" s="1">
        <v>5</v>
      </c>
      <c r="AB16" s="1">
        <v>5</v>
      </c>
      <c r="AC16" s="1">
        <v>5</v>
      </c>
      <c r="AD16" s="1">
        <v>5</v>
      </c>
      <c r="AE16" s="1" t="s">
        <v>4</v>
      </c>
      <c r="AF16" s="1"/>
      <c r="AG16" s="1" t="s">
        <v>4</v>
      </c>
      <c r="AH16" s="7">
        <f>SUM(December[[#This Row],[1]:[31]])</f>
        <v>64</v>
      </c>
    </row>
    <row r="17" spans="2:34" ht="30" customHeight="1" x14ac:dyDescent="0.25">
      <c r="B17" s="16" t="str">
        <f>MonthName&amp;" Totaal"</f>
        <v>December Totaal</v>
      </c>
      <c r="C17" s="9">
        <f>SUM(December[1])</f>
        <v>0</v>
      </c>
      <c r="D17" s="9">
        <f>SUM(December[2])</f>
        <v>3.5</v>
      </c>
      <c r="E17" s="9">
        <f>SUM(December[3])</f>
        <v>7.5</v>
      </c>
      <c r="F17" s="9">
        <f>SUM(December[4])</f>
        <v>4</v>
      </c>
      <c r="G17" s="9">
        <f>SUM(December[5])</f>
        <v>35</v>
      </c>
      <c r="H17" s="9">
        <f>SUM(December[6])</f>
        <v>35</v>
      </c>
      <c r="I17" s="9">
        <f>SUM(December[7])</f>
        <v>39</v>
      </c>
      <c r="J17" s="9">
        <f>SUM(December[8])</f>
        <v>0</v>
      </c>
      <c r="K17" s="9">
        <f>SUM(December[9])</f>
        <v>0</v>
      </c>
      <c r="L17" s="9">
        <f>SUM(December[10])</f>
        <v>0</v>
      </c>
      <c r="M17" s="9">
        <f>SUM(December[11])</f>
        <v>0</v>
      </c>
      <c r="N17" s="9">
        <f>SUM(December[12])</f>
        <v>27</v>
      </c>
      <c r="O17" s="9">
        <f>SUM(December[13])</f>
        <v>38.5</v>
      </c>
      <c r="P17" s="9">
        <f>SUM(December[14])</f>
        <v>43.5</v>
      </c>
      <c r="Q17" s="9">
        <f>SUM(December[15])</f>
        <v>0</v>
      </c>
      <c r="R17" s="9">
        <f>SUM(December[16])</f>
        <v>3.5</v>
      </c>
      <c r="S17" s="9">
        <f>SUM(December[17])</f>
        <v>7.5</v>
      </c>
      <c r="T17" s="9">
        <f>SUM(December[18])</f>
        <v>4</v>
      </c>
      <c r="U17" s="9">
        <f>SUM(December[19])</f>
        <v>30</v>
      </c>
      <c r="V17" s="9">
        <f>SUM(December[20])</f>
        <v>25.5</v>
      </c>
      <c r="W17" s="9">
        <f>SUM(December[21])</f>
        <v>33</v>
      </c>
      <c r="X17" s="9">
        <f>SUM(December[22])</f>
        <v>0</v>
      </c>
      <c r="Y17" s="9">
        <f>SUM(December[23])</f>
        <v>3.5</v>
      </c>
      <c r="Z17" s="9">
        <f>SUM(December[24])</f>
        <v>0</v>
      </c>
      <c r="AA17" s="9">
        <f>SUM(December[25])</f>
        <v>23</v>
      </c>
      <c r="AB17" s="9">
        <f>SUM(December[26])</f>
        <v>21</v>
      </c>
      <c r="AC17" s="9">
        <f>SUM(December[27])</f>
        <v>28.5</v>
      </c>
      <c r="AD17" s="9">
        <f>SUM(December[28])</f>
        <v>28.5</v>
      </c>
      <c r="AE17" s="9">
        <f>SUM(December[29])</f>
        <v>0</v>
      </c>
      <c r="AF17" s="9">
        <f>SUM(December[30])</f>
        <v>0</v>
      </c>
      <c r="AG17" s="9">
        <f>SUM(December[31])</f>
        <v>0</v>
      </c>
      <c r="AH17" s="9">
        <f>SUBTOTAL(109,December[Totaal aantal uren])</f>
        <v>441</v>
      </c>
    </row>
  </sheetData>
  <mergeCells count="6">
    <mergeCell ref="C4:AG4"/>
    <mergeCell ref="D2:F2"/>
    <mergeCell ref="H2:J2"/>
    <mergeCell ref="L2:M2"/>
    <mergeCell ref="O2:Q2"/>
    <mergeCell ref="S2:U2"/>
  </mergeCells>
  <conditionalFormatting sqref="C7:C16 G7:J16 N7:Q16 D8:F16 K8:M16 R8:T16 U7:AG16">
    <cfRule type="expression" priority="37" stopIfTrue="1">
      <formula>C7=""</formula>
    </cfRule>
    <cfRule type="expression" dxfId="67" priority="38" stopIfTrue="1">
      <formula>C7=KeyCustom2</formula>
    </cfRule>
    <cfRule type="expression" dxfId="66" priority="39" stopIfTrue="1">
      <formula>C7=KeyCustom1</formula>
    </cfRule>
    <cfRule type="expression" dxfId="65" priority="40" stopIfTrue="1">
      <formula>C7=KeySick</formula>
    </cfRule>
    <cfRule type="expression" dxfId="64" priority="41" stopIfTrue="1">
      <formula>C7=KeyPersonal</formula>
    </cfRule>
    <cfRule type="expression" dxfId="63" priority="42" stopIfTrue="1">
      <formula>C7=KeyVacation</formula>
    </cfRule>
  </conditionalFormatting>
  <conditionalFormatting sqref="D7">
    <cfRule type="expression" dxfId="62" priority="105" stopIfTrue="1">
      <formula>D7=KeyCustom1</formula>
    </cfRule>
    <cfRule type="expression" dxfId="61" priority="104" stopIfTrue="1">
      <formula>D7=KeyCustom2</formula>
    </cfRule>
    <cfRule type="expression" priority="103" stopIfTrue="1">
      <formula>D7=""</formula>
    </cfRule>
    <cfRule type="expression" dxfId="60" priority="108" stopIfTrue="1">
      <formula>D7=KeyVacation</formula>
    </cfRule>
    <cfRule type="expression" dxfId="59" priority="107" stopIfTrue="1">
      <formula>D7=KeyPersonal</formula>
    </cfRule>
    <cfRule type="expression" dxfId="58" priority="106" stopIfTrue="1">
      <formula>D7=KeySick</formula>
    </cfRule>
  </conditionalFormatting>
  <conditionalFormatting sqref="E7:F7">
    <cfRule type="expression" dxfId="57" priority="112" stopIfTrue="1">
      <formula>E7=KeySick</formula>
    </cfRule>
    <cfRule type="expression" dxfId="56" priority="113" stopIfTrue="1">
      <formula>E7=KeyPersonal</formula>
    </cfRule>
    <cfRule type="expression" dxfId="55" priority="114" stopIfTrue="1">
      <formula>E7=KeyVacation</formula>
    </cfRule>
    <cfRule type="expression" dxfId="54" priority="110" stopIfTrue="1">
      <formula>E7=KeyCustom2</formula>
    </cfRule>
    <cfRule type="expression" priority="109" stopIfTrue="1">
      <formula>E7=""</formula>
    </cfRule>
    <cfRule type="expression" dxfId="53" priority="111" stopIfTrue="1">
      <formula>E7=KeyCustom1</formula>
    </cfRule>
  </conditionalFormatting>
  <conditionalFormatting sqref="K7">
    <cfRule type="expression" dxfId="52" priority="87" stopIfTrue="1">
      <formula>K7=KeyCustom1</formula>
    </cfRule>
    <cfRule type="expression" dxfId="51" priority="86" stopIfTrue="1">
      <formula>K7=KeyCustom2</formula>
    </cfRule>
    <cfRule type="expression" priority="85" stopIfTrue="1">
      <formula>K7=""</formula>
    </cfRule>
    <cfRule type="expression" dxfId="50" priority="88" stopIfTrue="1">
      <formula>K7=KeySick</formula>
    </cfRule>
    <cfRule type="expression" dxfId="49" priority="89" stopIfTrue="1">
      <formula>K7=KeyPersonal</formula>
    </cfRule>
    <cfRule type="expression" dxfId="48" priority="90" stopIfTrue="1">
      <formula>K7=KeyVacation</formula>
    </cfRule>
  </conditionalFormatting>
  <conditionalFormatting sqref="L7:M7">
    <cfRule type="expression" dxfId="47" priority="94" stopIfTrue="1">
      <formula>L7=KeySick</formula>
    </cfRule>
    <cfRule type="expression" dxfId="46" priority="95" stopIfTrue="1">
      <formula>L7=KeyPersonal</formula>
    </cfRule>
    <cfRule type="expression" dxfId="45" priority="96" stopIfTrue="1">
      <formula>L7=KeyVacation</formula>
    </cfRule>
    <cfRule type="expression" dxfId="44" priority="93" stopIfTrue="1">
      <formula>L7=KeyCustom1</formula>
    </cfRule>
    <cfRule type="expression" priority="91" stopIfTrue="1">
      <formula>L7=""</formula>
    </cfRule>
    <cfRule type="expression" dxfId="43" priority="92" stopIfTrue="1">
      <formula>L7=KeyCustom2</formula>
    </cfRule>
  </conditionalFormatting>
  <conditionalFormatting sqref="R7">
    <cfRule type="expression" priority="67" stopIfTrue="1">
      <formula>R7=""</formula>
    </cfRule>
    <cfRule type="expression" dxfId="42" priority="68" stopIfTrue="1">
      <formula>R7=KeyCustom2</formula>
    </cfRule>
    <cfRule type="expression" dxfId="41" priority="69" stopIfTrue="1">
      <formula>R7=KeyCustom1</formula>
    </cfRule>
    <cfRule type="expression" dxfId="40" priority="70" stopIfTrue="1">
      <formula>R7=KeySick</formula>
    </cfRule>
    <cfRule type="expression" dxfId="39" priority="71" stopIfTrue="1">
      <formula>R7=KeyPersonal</formula>
    </cfRule>
    <cfRule type="expression" dxfId="38" priority="72" stopIfTrue="1">
      <formula>R7=KeyVacation</formula>
    </cfRule>
  </conditionalFormatting>
  <conditionalFormatting sqref="S7:T7">
    <cfRule type="expression" priority="73" stopIfTrue="1">
      <formula>S7=""</formula>
    </cfRule>
    <cfRule type="expression" dxfId="37" priority="74" stopIfTrue="1">
      <formula>S7=KeyCustom2</formula>
    </cfRule>
    <cfRule type="expression" dxfId="36" priority="75" stopIfTrue="1">
      <formula>S7=KeyCustom1</formula>
    </cfRule>
    <cfRule type="expression" dxfId="35" priority="78" stopIfTrue="1">
      <formula>S7=KeyVacation</formula>
    </cfRule>
    <cfRule type="expression" dxfId="34" priority="76" stopIfTrue="1">
      <formula>S7=KeySick</formula>
    </cfRule>
    <cfRule type="expression" dxfId="33" priority="77" stopIfTrue="1">
      <formula>S7=KeyPersonal</formula>
    </cfRule>
  </conditionalFormatting>
  <conditionalFormatting sqref="AH7:AH16">
    <cfRule type="dataBar" priority="241">
      <dataBar>
        <cfvo type="num" val="0"/>
        <cfvo type="num" val="31"/>
        <color theme="2" tint="-0.249977111117893"/>
      </dataBar>
      <extLst>
        <ext xmlns:x14="http://schemas.microsoft.com/office/spreadsheetml/2009/9/main" uri="{B025F937-C7B1-47D3-B67F-A62EFF666E3E}">
          <x14:id>{C02134F2-CE65-405D-B75A-5CF2390EDC52}</x14:id>
        </ext>
      </extLst>
    </cfRule>
  </conditionalFormatting>
  <dataValidations count="14">
    <dataValidation allowBlank="1" showInputMessage="1" showErrorMessage="1" prompt="Automatisch bijgewerkt jaar op basis van het jaar dat in het werkblad januari is ingevoerd" sqref="AH4" xr:uid="{00000000-0002-0000-0B00-000000000000}"/>
    <dataValidation allowBlank="1" showInputMessage="1" showErrorMessage="1" prompt="Berekent automatisch het totaal aantal dagen die een werknemer in deze maand niet aanwezig was in deze kolom" sqref="AH6" xr:uid="{00000000-0002-0000-0B00-000001000000}"/>
    <dataValidation allowBlank="1" showInputMessage="1" showErrorMessage="1" prompt="Houd de afwezigheid in december in dit werkblad bij" sqref="A1" xr:uid="{00000000-0002-0000-0B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 xr:uid="{00000000-0002-0000-0B00-000003000000}"/>
    <dataValidation allowBlank="1" showInputMessage="1" showErrorMessage="1" prompt="De titel wordt automatisch bijgewerkt in deze cel. Als u de titel wilt wijzigen, werk B1 in het januari-werkblad bij" sqref="B1" xr:uid="{00000000-0002-0000-0B00-000004000000}"/>
    <dataValidation allowBlank="1" showInputMessage="1" showErrorMessage="1" prompt="De letter &quot;V&quot; geeft afwezigheid vanwege vakantie aan" sqref="C2" xr:uid="{00000000-0002-0000-0B00-000005000000}"/>
    <dataValidation allowBlank="1" showInputMessage="1" showErrorMessage="1" prompt="De letter &quot;P&quot; geeft afwezigheid vanwege persoonlijke redenen aan" sqref="G2" xr:uid="{00000000-0002-0000-0B00-000006000000}"/>
    <dataValidation allowBlank="1" showInputMessage="1" showErrorMessage="1" prompt="De letter &quot;Z&quot; geeft afwezigheid vanwege ziekte aan" sqref="K2" xr:uid="{00000000-0002-0000-0B00-000007000000}"/>
    <dataValidation allowBlank="1" showInputMessage="1" showErrorMessage="1" prompt="Voer een letter in en pas rechts het label aan om een ander sleutelitem toe te voegen" sqref="N2 R2" xr:uid="{00000000-0002-0000-0B00-000008000000}"/>
    <dataValidation allowBlank="1" showInputMessage="1" showErrorMessage="1" prompt="Voer links een label in om de aangepaste sleutel te beschrijven" sqref="O2:Q2 S2:U2" xr:uid="{00000000-0002-0000-0B00-000009000000}"/>
    <dataValidation allowBlank="1" showInputMessage="1" showErrorMessage="1" prompt="Deze rij definieert de sleutels die worden gebruikt in de tabel: cel C2 is Vakantie, G2 is Persoonlijk en K2 is Ziekteverlof. De cellen N2 en R2 kunnen worden aangepast" sqref="B2" xr:uid="{00000000-0002-0000-0B00-00000A000000}"/>
    <dataValidation allowBlank="1" showInputMessage="1" showErrorMessage="1" prompt="De naam van de maand voor dit verzuimschema bevindt zich in deze cel. De absentietotalen voor deze maand staan in de laatste cel van de tabel. Namen van werknemers selecteren in tabelkolom B" sqref="B4" xr:uid="{00000000-0002-0000-0B00-00000B000000}"/>
    <dataValidation allowBlank="1" showInputMessage="1" showErrorMessage="1" prompt="Weekdagen in deze rij worden automatisch bijgewerkt voor de maand, overeenkomstig het jaar in AH4. Elke dag van de maand is een kolom om het verzuim en type verzuim van een werknemer te noteren" sqref="C5" xr:uid="{00000000-0002-0000-0B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C6" xr:uid="{00000000-0002-0000-0B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02134F2-CE65-405D-B75A-5CF2390EDC52}">
            <x14:dataBar minLength="0" maxLength="100">
              <x14:cfvo type="num">
                <xm:f>0</xm:f>
              </x14:cfvo>
              <x14:cfvo type="num">
                <xm:f>31</xm:f>
              </x14:cfvo>
              <x14:negativeFillColor rgb="FFFF0000"/>
              <x14:axisColor rgb="FF000000"/>
            </x14:dataBar>
          </x14:cfRule>
          <xm:sqref>AH7:AH16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3">
    <tabColor theme="1"/>
  </sheetPr>
  <dimension ref="B1:B15"/>
  <sheetViews>
    <sheetView showGridLines="0" workbookViewId="0">
      <selection activeCell="A11" sqref="A11:XFD11"/>
    </sheetView>
  </sheetViews>
  <sheetFormatPr defaultRowHeight="30" customHeight="1" x14ac:dyDescent="0.25"/>
  <cols>
    <col min="1" max="1" width="2.7109375" customWidth="1"/>
    <col min="2" max="2" width="30.7109375" customWidth="1"/>
    <col min="3" max="3" width="2.7109375" customWidth="1"/>
  </cols>
  <sheetData>
    <row r="1" spans="2:2" ht="50.1" customHeight="1" x14ac:dyDescent="0.25">
      <c r="B1" s="17" t="s">
        <v>57</v>
      </c>
    </row>
    <row r="2" spans="2:2" ht="15" customHeight="1" x14ac:dyDescent="0.25"/>
    <row r="3" spans="2:2" ht="30" customHeight="1" x14ac:dyDescent="0.25">
      <c r="B3" t="s">
        <v>57</v>
      </c>
    </row>
    <row r="4" spans="2:2" ht="30" customHeight="1" x14ac:dyDescent="0.25">
      <c r="B4" t="s">
        <v>65</v>
      </c>
    </row>
    <row r="5" spans="2:2" ht="30" customHeight="1" x14ac:dyDescent="0.25">
      <c r="B5" t="s">
        <v>61</v>
      </c>
    </row>
    <row r="6" spans="2:2" ht="30" customHeight="1" x14ac:dyDescent="0.25">
      <c r="B6" s="19" t="s">
        <v>74</v>
      </c>
    </row>
    <row r="7" spans="2:2" ht="30" customHeight="1" x14ac:dyDescent="0.25">
      <c r="B7" s="20" t="s">
        <v>76</v>
      </c>
    </row>
    <row r="8" spans="2:2" ht="30" customHeight="1" x14ac:dyDescent="0.25">
      <c r="B8" t="s">
        <v>64</v>
      </c>
    </row>
    <row r="9" spans="2:2" ht="30" customHeight="1" x14ac:dyDescent="0.25">
      <c r="B9" t="s">
        <v>71</v>
      </c>
    </row>
    <row r="10" spans="2:2" ht="30" customHeight="1" x14ac:dyDescent="0.25">
      <c r="B10" t="s">
        <v>70</v>
      </c>
    </row>
    <row r="11" spans="2:2" ht="30" customHeight="1" x14ac:dyDescent="0.25">
      <c r="B11" t="s">
        <v>63</v>
      </c>
    </row>
    <row r="12" spans="2:2" ht="30" customHeight="1" x14ac:dyDescent="0.25">
      <c r="B12" t="s">
        <v>60</v>
      </c>
    </row>
    <row r="13" spans="2:2" ht="30" customHeight="1" x14ac:dyDescent="0.25">
      <c r="B13" t="s">
        <v>62</v>
      </c>
    </row>
    <row r="14" spans="2:2" ht="30" customHeight="1" x14ac:dyDescent="0.25">
      <c r="B14" s="19" t="s">
        <v>75</v>
      </c>
    </row>
    <row r="15" spans="2:2" ht="30" customHeight="1" x14ac:dyDescent="0.25">
      <c r="B15" t="s">
        <v>69</v>
      </c>
    </row>
  </sheetData>
  <phoneticPr fontId="19" type="noConversion"/>
  <dataValidations count="3">
    <dataValidation allowBlank="1" showInputMessage="1" showErrorMessage="1" prompt="Titel werknemersnamen" sqref="B1" xr:uid="{00000000-0002-0000-0C00-000000000000}"/>
    <dataValidation allowBlank="1" showInputMessage="1" showErrorMessage="1" prompt="Voer namen van werknemers in de tabel werknemersnaam in dit werkblad in. Deze namen worden als opties gebruikt in kolom B van de verzuimtabel van elke maand." sqref="A1" xr:uid="{00000000-0002-0000-0C00-000001000000}"/>
    <dataValidation allowBlank="1" showInputMessage="1" showErrorMessage="1" prompt="Voer de werknemersnamen in deze kolom in" sqref="B3" xr:uid="{00000000-0002-0000-0C00-000002000000}"/>
  </dataValidations>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Werkbladen</vt:lpstr>
      </vt:variant>
      <vt:variant>
        <vt:i4>13</vt:i4>
      </vt:variant>
      <vt:variant>
        <vt:lpstr>Benoemde bereiken</vt:lpstr>
      </vt:variant>
      <vt:variant>
        <vt:i4>50</vt:i4>
      </vt:variant>
    </vt:vector>
  </HeadingPairs>
  <TitlesOfParts>
    <vt:vector size="63" baseType="lpstr">
      <vt:lpstr>Januari</vt:lpstr>
      <vt:lpstr>Februari</vt:lpstr>
      <vt:lpstr>Maart</vt:lpstr>
      <vt:lpstr>April</vt:lpstr>
      <vt:lpstr>Mei</vt:lpstr>
      <vt:lpstr>Juni</vt:lpstr>
      <vt:lpstr>Juli</vt:lpstr>
      <vt:lpstr>Augustus</vt:lpstr>
      <vt:lpstr>September</vt:lpstr>
      <vt:lpstr>Oktober</vt:lpstr>
      <vt:lpstr>November</vt:lpstr>
      <vt:lpstr>December</vt:lpstr>
      <vt:lpstr>Werknemersnamen</vt:lpstr>
      <vt:lpstr>April!Afdruktitels</vt:lpstr>
      <vt:lpstr>Augustus!Afdruktitels</vt:lpstr>
      <vt:lpstr>December!Afdruktitels</vt:lpstr>
      <vt:lpstr>Februari!Afdruktitels</vt:lpstr>
      <vt:lpstr>Januari!Afdruktitels</vt:lpstr>
      <vt:lpstr>Juli!Afdruktitels</vt:lpstr>
      <vt:lpstr>Juni!Afdruktitels</vt:lpstr>
      <vt:lpstr>Maart!Afdruktitels</vt:lpstr>
      <vt:lpstr>Mei!Afdruktitels</vt:lpstr>
      <vt:lpstr>November!Afdruktitels</vt:lpstr>
      <vt:lpstr>Oktober!Afdruktitels</vt:lpstr>
      <vt:lpstr>September!Afdruktitels</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Augustus!MonthName</vt:lpstr>
      <vt:lpstr>December!MonthName</vt:lpstr>
      <vt:lpstr>Februari!MonthName</vt:lpstr>
      <vt:lpstr>Januari!MonthName</vt:lpstr>
      <vt:lpstr>Juli!MonthName</vt:lpstr>
      <vt:lpstr>Juni!MonthName</vt:lpstr>
      <vt:lpstr>Maart!MonthName</vt:lpstr>
      <vt:lpstr>Mei!MonthName</vt:lpstr>
      <vt:lpstr>November!MonthName</vt:lpstr>
      <vt:lpstr>Oktober!MonthName</vt:lpstr>
      <vt:lpstr>September!MonthName</vt:lpstr>
      <vt:lpstr>Titel1</vt:lpstr>
      <vt:lpstr>Titel10</vt:lpstr>
      <vt:lpstr>Titel11</vt:lpstr>
      <vt:lpstr>Titel12</vt:lpstr>
      <vt:lpstr>Titel2</vt:lpstr>
      <vt:lpstr>Titel3</vt:lpstr>
      <vt:lpstr>Titel4</vt:lpstr>
      <vt:lpstr>Titel5</vt:lpstr>
      <vt:lpstr>Titel6</vt:lpstr>
      <vt:lpstr>Titel7</vt:lpstr>
      <vt:lpstr>Titel8</vt:lpstr>
      <vt:lpstr>Titel9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Abdullah Gultekin</dc:creator>
  <cp:lastModifiedBy>Abdullah Gultekin</cp:lastModifiedBy>
  <dcterms:created xsi:type="dcterms:W3CDTF">2016-12-06T04:52:27Z</dcterms:created>
  <dcterms:modified xsi:type="dcterms:W3CDTF">2025-12-27T14:46:12Z</dcterms:modified>
</cp:coreProperties>
</file>