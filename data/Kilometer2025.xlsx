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https://d.docs.live.net/10f64b811df2eee0/Bureaublad/"/>
    </mc:Choice>
  </mc:AlternateContent>
  <xr:revisionPtr revIDLastSave="3687" documentId="8_{F459943D-91D8-424F-B594-1B2C98ED2FD2}" xr6:coauthVersionLast="47" xr6:coauthVersionMax="47" xr10:uidLastSave="{00B43068-CC75-4E68-A71B-0EE363760256}"/>
  <bookViews>
    <workbookView xWindow="28680" yWindow="-120" windowWidth="29040" windowHeight="15720" tabRatio="685" activeTab="11" xr2:uid="{00000000-000D-0000-FFFF-FFFF00000000}"/>
  </bookViews>
  <sheets>
    <sheet name="Januari" sheetId="4" r:id="rId1"/>
    <sheet name="Februari" sheetId="5" r:id="rId2"/>
    <sheet name="Maart" sheetId="17" r:id="rId3"/>
    <sheet name="April" sheetId="18" r:id="rId4"/>
    <sheet name="Mei" sheetId="19" r:id="rId5"/>
    <sheet name="Juni" sheetId="20" r:id="rId6"/>
    <sheet name="Juli" sheetId="21" r:id="rId7"/>
    <sheet name="Augustus" sheetId="22" r:id="rId8"/>
    <sheet name="September" sheetId="23" r:id="rId9"/>
    <sheet name="Oktober" sheetId="24" r:id="rId10"/>
    <sheet name="November" sheetId="25" r:id="rId11"/>
    <sheet name="December" sheetId="15" r:id="rId12"/>
  </sheets>
  <definedNames>
    <definedName name="_xlnm.Print_Titles" localSheetId="3">April!$3:$5</definedName>
    <definedName name="_xlnm.Print_Titles" localSheetId="7">Augustus!$3:$5</definedName>
    <definedName name="_xlnm.Print_Titles" localSheetId="11">December!$3:$5</definedName>
    <definedName name="_xlnm.Print_Titles" localSheetId="1">Februari!$4:$6</definedName>
    <definedName name="_xlnm.Print_Titles" localSheetId="0">Januari!$4:$6</definedName>
    <definedName name="_xlnm.Print_Titles" localSheetId="6">Juli!$3:$5</definedName>
    <definedName name="_xlnm.Print_Titles" localSheetId="5">Juni!$3:$5</definedName>
    <definedName name="_xlnm.Print_Titles" localSheetId="2">Maart!$3:$5</definedName>
    <definedName name="_xlnm.Print_Titles" localSheetId="4">Mei!$3:$5</definedName>
    <definedName name="_xlnm.Print_Titles" localSheetId="10">November!$3:$5</definedName>
    <definedName name="_xlnm.Print_Titles" localSheetId="9">Oktober!$3:$5</definedName>
    <definedName name="_xlnm.Print_Titles" localSheetId="8">September!$3:$5</definedName>
    <definedName name="CalendarYear">Januari!$AK$4</definedName>
    <definedName name="ColumnTitle13">#REF!</definedName>
    <definedName name="Employee_Absence_Title">Januari!$B$1</definedName>
    <definedName name="Key_name">Januari!$B$2</definedName>
    <definedName name="KeyCustom1">Januari!$Q$2</definedName>
    <definedName name="KeyCustom1Label">Januari!$R$2</definedName>
    <definedName name="KeyCustom2">Januari!$U$2</definedName>
    <definedName name="KeyCustom2Label">Januari!$V$2</definedName>
    <definedName name="KeyPersonal">Januari!$J$2</definedName>
    <definedName name="KeyPersonalLabel">Januari!$K$2</definedName>
    <definedName name="KeySick">Januari!$N$2</definedName>
    <definedName name="KeySickLabel">Januari!$O$2</definedName>
    <definedName name="KeyVacation">Januari!$F$2</definedName>
    <definedName name="KeyVacationLabel">Januari!$G$2</definedName>
    <definedName name="MonthName" localSheetId="3">April!$A$3</definedName>
    <definedName name="MonthName" localSheetId="7">Augustus!$A$3</definedName>
    <definedName name="MonthName" localSheetId="11">December!$A$3</definedName>
    <definedName name="MonthName" localSheetId="1">Februari!$A$4</definedName>
    <definedName name="MonthName" localSheetId="0">Januari!$B$4</definedName>
    <definedName name="MonthName" localSheetId="6">Juli!$A$3</definedName>
    <definedName name="MonthName" localSheetId="5">Juni!$A$3</definedName>
    <definedName name="MonthName" localSheetId="2">Maart!$A$3</definedName>
    <definedName name="MonthName" localSheetId="4">Mei!$A$3</definedName>
    <definedName name="MonthName" localSheetId="10">November!$A$3</definedName>
    <definedName name="MonthName" localSheetId="9">Oktober!$A$3</definedName>
    <definedName name="MonthName" localSheetId="8">September!$A$3</definedName>
    <definedName name="Titel1">Januari[[#Headers],[Naam werknemer]]</definedName>
    <definedName name="Titel10">Oktober[[#Headers],[Naam van werknemer]]</definedName>
    <definedName name="Titel11">November[[#Headers],[Naam van werknemer]]</definedName>
    <definedName name="Titel12">December[[#Headers],[Naam van werknemer]]</definedName>
    <definedName name="Titel2">Februari[[#Headers],[Naam van werknemer]]</definedName>
    <definedName name="Titel3">Maart[[#Headers],[Naam van werknemer]]</definedName>
    <definedName name="Titel4">April[[#Headers],[Naam van werknemer]]</definedName>
    <definedName name="Titel5">Mei[[#Headers],[Naam van werknemer]]</definedName>
    <definedName name="Titel6">Juni[[#Headers],[Naam van werknemer]]</definedName>
    <definedName name="Titel7">Juli[[#Headers],[Naam van werknemer]]</definedName>
    <definedName name="Titel8">Augustus[[#Headers],[Naam van werknemer]]</definedName>
    <definedName name="Titel9">September[[#Headers],[Naam van werknemer]]</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7" i="22" l="1"/>
  <c r="AJ9" i="20"/>
  <c r="AI9" i="20"/>
  <c r="AJ10" i="19"/>
  <c r="AJ9" i="5"/>
  <c r="AK9" i="5" s="1"/>
  <c r="F4" i="19"/>
  <c r="G4" i="19"/>
  <c r="H4" i="19"/>
  <c r="I4" i="19"/>
  <c r="J4" i="19"/>
  <c r="K4" i="19"/>
  <c r="L4" i="19"/>
  <c r="M4" i="19"/>
  <c r="N4" i="19"/>
  <c r="O4" i="19"/>
  <c r="P4" i="19"/>
  <c r="Q4" i="19"/>
  <c r="R4" i="19"/>
  <c r="S4" i="19"/>
  <c r="T4" i="19"/>
  <c r="U4" i="19"/>
  <c r="V4" i="19"/>
  <c r="W4" i="19"/>
  <c r="X4" i="19"/>
  <c r="Y4" i="19"/>
  <c r="Z4" i="19"/>
  <c r="AA4" i="19"/>
  <c r="AB4" i="19"/>
  <c r="AC4" i="19"/>
  <c r="AD4" i="19"/>
  <c r="AE4" i="19"/>
  <c r="AF4" i="19"/>
  <c r="AG4" i="19"/>
  <c r="AH4" i="19"/>
  <c r="AI4" i="19"/>
  <c r="F4" i="18"/>
  <c r="G4" i="18"/>
  <c r="H4" i="18"/>
  <c r="I4" i="18"/>
  <c r="J4" i="18"/>
  <c r="K4" i="18"/>
  <c r="L4" i="18"/>
  <c r="M4" i="18"/>
  <c r="N4" i="18"/>
  <c r="O4" i="18"/>
  <c r="P4" i="18"/>
  <c r="Q4" i="18"/>
  <c r="R4" i="18"/>
  <c r="S4" i="18"/>
  <c r="T4" i="18"/>
  <c r="U4" i="18"/>
  <c r="V4" i="18"/>
  <c r="W4" i="18"/>
  <c r="X4" i="18"/>
  <c r="Y4" i="18"/>
  <c r="Z4" i="18"/>
  <c r="AA4" i="18"/>
  <c r="AB4" i="18"/>
  <c r="AC4" i="18"/>
  <c r="AD4" i="18"/>
  <c r="AE4" i="18"/>
  <c r="AF4" i="18"/>
  <c r="AG4" i="18"/>
  <c r="AH4" i="18"/>
  <c r="AI4" i="17"/>
  <c r="AH4" i="17"/>
  <c r="AG4" i="17"/>
  <c r="AF4" i="17"/>
  <c r="AE4" i="17"/>
  <c r="AD4" i="17"/>
  <c r="AC4" i="17"/>
  <c r="AB4" i="17"/>
  <c r="AA4" i="17"/>
  <c r="Z4" i="17"/>
  <c r="Y4" i="17"/>
  <c r="X4" i="17"/>
  <c r="W4" i="17"/>
  <c r="V4" i="17"/>
  <c r="U4" i="17"/>
  <c r="T4" i="17"/>
  <c r="S4" i="17"/>
  <c r="R4" i="17"/>
  <c r="Q4" i="17"/>
  <c r="P4" i="17"/>
  <c r="O4" i="17"/>
  <c r="N4" i="17"/>
  <c r="M4" i="17"/>
  <c r="L4" i="17"/>
  <c r="K4" i="17"/>
  <c r="J4" i="17"/>
  <c r="I4" i="17"/>
  <c r="H4" i="17"/>
  <c r="G4" i="17"/>
  <c r="F4" i="17"/>
  <c r="E4" i="18"/>
  <c r="E4" i="20"/>
  <c r="E4" i="19"/>
  <c r="E4" i="17"/>
  <c r="E5" i="5"/>
  <c r="F5" i="4" l="1"/>
  <c r="AK7" i="4" l="1"/>
  <c r="AL7" i="4" s="1"/>
  <c r="AK8" i="4"/>
  <c r="AL8" i="4" s="1"/>
  <c r="AK9" i="4"/>
  <c r="AL9" i="4" s="1"/>
  <c r="AK10" i="4"/>
  <c r="AL10" i="4" s="1"/>
  <c r="AI6" i="25"/>
  <c r="AJ6" i="25" s="1"/>
  <c r="AI7" i="25"/>
  <c r="AJ7" i="25" s="1"/>
  <c r="AI8" i="25"/>
  <c r="AJ8" i="25" s="1"/>
  <c r="AI9" i="25"/>
  <c r="AJ9" i="25" s="1"/>
  <c r="AJ6" i="17"/>
  <c r="AK6" i="17" s="1"/>
  <c r="AJ7" i="17"/>
  <c r="AK7" i="17" s="1"/>
  <c r="AJ8" i="17"/>
  <c r="AK8" i="17" s="1"/>
  <c r="AJ9" i="17"/>
  <c r="AK9" i="17" s="1"/>
  <c r="AJ10" i="17"/>
  <c r="AK10" i="17" s="1"/>
  <c r="AJ11" i="17"/>
  <c r="AK11" i="17" s="1"/>
  <c r="AH4" i="20"/>
  <c r="AG4" i="20"/>
  <c r="AF4" i="20"/>
  <c r="AE4" i="20"/>
  <c r="AD4" i="20"/>
  <c r="AC4" i="20"/>
  <c r="AB4" i="20"/>
  <c r="AA4" i="20"/>
  <c r="Z4" i="20"/>
  <c r="Y4" i="20"/>
  <c r="X4" i="20"/>
  <c r="W4" i="20"/>
  <c r="V4" i="20"/>
  <c r="U4" i="20"/>
  <c r="T4" i="20"/>
  <c r="AJ8" i="5" l="1"/>
  <c r="AK8" i="5" s="1"/>
  <c r="AJ7" i="5"/>
  <c r="AK7" i="5" s="1"/>
  <c r="AJ10" i="5"/>
  <c r="AK10" i="5" s="1"/>
  <c r="AJ11" i="5" l="1"/>
  <c r="AK11" i="5" s="1"/>
  <c r="AL11" i="4" l="1"/>
  <c r="AK12" i="5"/>
  <c r="AJ10" i="15" l="1"/>
  <c r="AK10" i="15" s="1"/>
  <c r="AJ9" i="15"/>
  <c r="AK9" i="15" s="1"/>
  <c r="AJ7" i="15"/>
  <c r="AK7" i="15" s="1"/>
  <c r="AJ6" i="15"/>
  <c r="AK6" i="15" s="1"/>
  <c r="AJ8" i="15"/>
  <c r="AK8" i="15" s="1"/>
  <c r="AI10" i="25"/>
  <c r="AJ10" i="25" s="1"/>
  <c r="AJ9" i="24"/>
  <c r="AK9" i="24" s="1"/>
  <c r="AJ11" i="24"/>
  <c r="AK11" i="24" s="1"/>
  <c r="AJ8" i="24"/>
  <c r="AK8" i="24" s="1"/>
  <c r="AJ7" i="24"/>
  <c r="AK7" i="24" s="1"/>
  <c r="AJ6" i="24"/>
  <c r="AK6" i="24" s="1"/>
  <c r="AJ10" i="24"/>
  <c r="AK10" i="24" s="1"/>
  <c r="AI10" i="23"/>
  <c r="AJ10" i="23" s="1"/>
  <c r="AI8" i="23"/>
  <c r="AJ8" i="23" s="1"/>
  <c r="AI9" i="23"/>
  <c r="AJ9" i="23" s="1"/>
  <c r="AI7" i="23"/>
  <c r="AJ7" i="23" s="1"/>
  <c r="AI6" i="23"/>
  <c r="AJ6" i="23" s="1"/>
  <c r="AJ9" i="22"/>
  <c r="AK9" i="22" s="1"/>
  <c r="AJ6" i="22"/>
  <c r="AK6" i="22" s="1"/>
  <c r="AJ8" i="22"/>
  <c r="AK8" i="22" s="1"/>
  <c r="AJ9" i="21"/>
  <c r="AK9" i="21" s="1"/>
  <c r="AJ7" i="21"/>
  <c r="AK7" i="21" s="1"/>
  <c r="AJ6" i="21"/>
  <c r="AK6" i="21" s="1"/>
  <c r="AJ8" i="21"/>
  <c r="AK8" i="21" s="1"/>
  <c r="AI11" i="20"/>
  <c r="AJ11" i="20" s="1"/>
  <c r="AI8" i="20"/>
  <c r="AJ8" i="20" s="1"/>
  <c r="AI7" i="20"/>
  <c r="AJ7" i="20" s="1"/>
  <c r="AI6" i="20"/>
  <c r="AJ6" i="20" s="1"/>
  <c r="AI10" i="20"/>
  <c r="AJ10" i="20" s="1"/>
  <c r="AJ11" i="19"/>
  <c r="AK11" i="19" s="1"/>
  <c r="AJ8" i="19"/>
  <c r="AK8" i="19" s="1"/>
  <c r="AJ7" i="19"/>
  <c r="AK7" i="19" s="1"/>
  <c r="AJ6" i="19"/>
  <c r="AK6" i="19" s="1"/>
  <c r="AJ9" i="19"/>
  <c r="AK9" i="19" s="1"/>
  <c r="AI11" i="18"/>
  <c r="AJ11" i="18" s="1"/>
  <c r="AI8" i="18"/>
  <c r="AJ8" i="18" s="1"/>
  <c r="AI10" i="18"/>
  <c r="AJ10" i="18" s="1"/>
  <c r="AI7" i="18"/>
  <c r="AJ7" i="18" s="1"/>
  <c r="AI6" i="18"/>
  <c r="AJ6" i="18" s="1"/>
  <c r="AI9" i="18"/>
  <c r="AJ9" i="18" s="1"/>
  <c r="AK11" i="15" l="1"/>
  <c r="AJ11" i="25"/>
  <c r="AJ11" i="23"/>
  <c r="AK10" i="22"/>
  <c r="AJ12" i="18"/>
  <c r="AK12" i="24"/>
  <c r="AK12" i="17"/>
  <c r="AJ12" i="20"/>
  <c r="A1" i="17"/>
  <c r="A1" i="21"/>
  <c r="A1" i="19"/>
  <c r="A1" i="23"/>
  <c r="A1" i="24"/>
  <c r="A1" i="22"/>
  <c r="A1" i="15"/>
  <c r="A1" i="5"/>
  <c r="A1" i="20"/>
  <c r="A1" i="18"/>
  <c r="A1" i="25"/>
  <c r="AI4" i="15"/>
  <c r="F4" i="15"/>
  <c r="J4" i="15"/>
  <c r="P4" i="22"/>
  <c r="M4" i="25"/>
  <c r="P4" i="25"/>
  <c r="AB4" i="22"/>
  <c r="K4" i="24"/>
  <c r="R5" i="4"/>
  <c r="H5" i="4"/>
  <c r="W4" i="24"/>
  <c r="AE5" i="4"/>
  <c r="J5" i="4"/>
  <c r="M4" i="23"/>
  <c r="O5" i="5"/>
  <c r="AE4" i="23"/>
  <c r="P4" i="24"/>
  <c r="V4" i="25"/>
  <c r="L4" i="22"/>
  <c r="V4" i="23"/>
  <c r="AH4" i="25"/>
  <c r="AF5" i="4"/>
  <c r="U5" i="5"/>
  <c r="AD4" i="15"/>
  <c r="F4" i="20"/>
  <c r="Q4" i="15"/>
  <c r="K4" i="15"/>
  <c r="AF5" i="5"/>
  <c r="V5" i="5"/>
  <c r="J4" i="21"/>
  <c r="V4" i="22"/>
  <c r="AF4" i="22"/>
  <c r="G4" i="23"/>
  <c r="K5" i="4"/>
  <c r="I4" i="21"/>
  <c r="Y4" i="24"/>
  <c r="N4" i="20"/>
  <c r="AC4" i="22"/>
  <c r="V4" i="24"/>
  <c r="AG4" i="21"/>
  <c r="S4" i="21"/>
  <c r="AI5" i="4"/>
  <c r="N4" i="24"/>
  <c r="W4" i="21"/>
  <c r="K4" i="21"/>
  <c r="Q4" i="20"/>
  <c r="E4" i="15"/>
  <c r="I4" i="15"/>
  <c r="AA4" i="21"/>
  <c r="AA4" i="22"/>
  <c r="AG4" i="23"/>
  <c r="X4" i="15"/>
  <c r="F4" i="25"/>
  <c r="AA5" i="4"/>
  <c r="AB5" i="4"/>
  <c r="AB4" i="21"/>
  <c r="T4" i="23"/>
  <c r="AD4" i="25"/>
  <c r="E4" i="21"/>
  <c r="AD4" i="23"/>
  <c r="V4" i="15"/>
  <c r="U4" i="23"/>
  <c r="E4" i="23"/>
  <c r="P4" i="23"/>
  <c r="T4" i="22"/>
  <c r="O4" i="15"/>
  <c r="AB4" i="23"/>
  <c r="G4" i="24"/>
  <c r="G5" i="4"/>
  <c r="AJ3" i="21"/>
  <c r="I4" i="20"/>
  <c r="L4" i="15"/>
  <c r="AA4" i="25"/>
  <c r="N5" i="4"/>
  <c r="AD5" i="4"/>
  <c r="X4" i="21"/>
  <c r="Q4" i="23"/>
  <c r="R4" i="21"/>
  <c r="U5" i="4"/>
  <c r="S4" i="23"/>
  <c r="P4" i="21"/>
  <c r="K4" i="23"/>
  <c r="Q4" i="24"/>
  <c r="AD5" i="5"/>
  <c r="G4" i="22"/>
  <c r="AF4" i="21"/>
  <c r="N4" i="25"/>
  <c r="AH4" i="21"/>
  <c r="L4" i="23"/>
  <c r="AC4" i="24"/>
  <c r="AF4" i="24"/>
  <c r="AC4" i="15"/>
  <c r="F4" i="24"/>
  <c r="G5" i="5"/>
  <c r="H4" i="23"/>
  <c r="H4" i="21"/>
  <c r="Y4" i="22"/>
  <c r="W5" i="4"/>
  <c r="S4" i="20"/>
  <c r="O4" i="25"/>
  <c r="AB4" i="15"/>
  <c r="U4" i="22"/>
  <c r="P4" i="20"/>
  <c r="AB5" i="5"/>
  <c r="S5" i="5"/>
  <c r="AI3" i="18"/>
  <c r="I5" i="5"/>
  <c r="J4" i="25"/>
  <c r="AF4" i="25"/>
  <c r="AF4" i="15"/>
  <c r="K5" i="5"/>
  <c r="M4" i="24"/>
  <c r="AG4" i="15"/>
  <c r="N4" i="23"/>
  <c r="AI4" i="24"/>
  <c r="N4" i="15"/>
  <c r="AD4" i="24"/>
  <c r="G4" i="21"/>
  <c r="R4" i="24"/>
  <c r="AA5" i="5"/>
  <c r="AJ3" i="17"/>
  <c r="W4" i="15"/>
  <c r="L4" i="25"/>
  <c r="AE4" i="22"/>
  <c r="T5" i="4"/>
  <c r="Y4" i="15"/>
  <c r="T5" i="5"/>
  <c r="E4" i="22"/>
  <c r="K4" i="25"/>
  <c r="T4" i="25"/>
  <c r="Y5" i="4"/>
  <c r="P5" i="5"/>
  <c r="Z4" i="22"/>
  <c r="F4" i="23"/>
  <c r="AA4" i="15"/>
  <c r="H5" i="5"/>
  <c r="R4" i="25"/>
  <c r="Y5" i="5"/>
  <c r="Z4" i="24"/>
  <c r="L5" i="5"/>
  <c r="P5" i="4"/>
  <c r="AC5" i="5"/>
  <c r="S4" i="22"/>
  <c r="M5" i="5"/>
  <c r="Q5" i="5"/>
  <c r="V5" i="4"/>
  <c r="AI4" i="21"/>
  <c r="W5" i="5"/>
  <c r="O4" i="20"/>
  <c r="I4" i="23"/>
  <c r="Y4" i="23"/>
  <c r="AH5" i="4"/>
  <c r="F4" i="22"/>
  <c r="F4" i="21"/>
  <c r="Y4" i="25"/>
  <c r="Y4" i="21"/>
  <c r="L4" i="24"/>
  <c r="J4" i="22"/>
  <c r="I5" i="4"/>
  <c r="T4" i="15"/>
  <c r="AC4" i="25"/>
  <c r="G4" i="25"/>
  <c r="Q4" i="25"/>
  <c r="X4" i="25"/>
  <c r="W4" i="22"/>
  <c r="AE4" i="15"/>
  <c r="L4" i="20"/>
  <c r="AJ3" i="24"/>
  <c r="AJ3" i="19"/>
  <c r="AE4" i="25"/>
  <c r="O4" i="21"/>
  <c r="W4" i="25"/>
  <c r="AD4" i="22"/>
  <c r="AH4" i="22"/>
  <c r="M4" i="15"/>
  <c r="J4" i="20"/>
  <c r="O4" i="22"/>
  <c r="X4" i="24"/>
  <c r="AB4" i="25"/>
  <c r="I4" i="25"/>
  <c r="AA4" i="23"/>
  <c r="P4" i="15"/>
  <c r="R5" i="5"/>
  <c r="S4" i="15"/>
  <c r="X4" i="22"/>
  <c r="U4" i="24"/>
  <c r="N4" i="22"/>
  <c r="AG5" i="4"/>
  <c r="J4" i="23"/>
  <c r="T4" i="24"/>
  <c r="K4" i="22"/>
  <c r="AJ5" i="4"/>
  <c r="AC4" i="23"/>
  <c r="AE4" i="24"/>
  <c r="O4" i="23"/>
  <c r="AD4" i="21"/>
  <c r="AI3" i="25"/>
  <c r="U4" i="21"/>
  <c r="L5" i="4"/>
  <c r="AJ3" i="15"/>
  <c r="H4" i="22"/>
  <c r="AG4" i="24"/>
  <c r="M4" i="21"/>
  <c r="R4" i="20"/>
  <c r="Z4" i="15"/>
  <c r="Q4" i="22"/>
  <c r="I4" i="24"/>
  <c r="K4" i="20"/>
  <c r="E4" i="24"/>
  <c r="L4" i="21"/>
  <c r="N4" i="21"/>
  <c r="AJ3" i="22"/>
  <c r="AF4" i="23"/>
  <c r="S4" i="24"/>
  <c r="Z5" i="4"/>
  <c r="H4" i="24"/>
  <c r="AI4" i="22"/>
  <c r="M5" i="4"/>
  <c r="Z4" i="23"/>
  <c r="Q4" i="21"/>
  <c r="V4" i="21"/>
  <c r="M4" i="22"/>
  <c r="J5" i="5"/>
  <c r="AI3" i="23"/>
  <c r="Z4" i="25"/>
  <c r="AH4" i="15"/>
  <c r="U4" i="25"/>
  <c r="S4" i="25"/>
  <c r="M4" i="20"/>
  <c r="Z5" i="5"/>
  <c r="AH4" i="23"/>
  <c r="Q5" i="4"/>
  <c r="E4" i="25"/>
  <c r="X4" i="23"/>
  <c r="G4" i="15"/>
  <c r="S5" i="4"/>
  <c r="AA4" i="24"/>
  <c r="AG4" i="22"/>
  <c r="N5" i="5"/>
  <c r="W4" i="23"/>
  <c r="R4" i="23"/>
  <c r="R4" i="22"/>
  <c r="AB4" i="24"/>
  <c r="AC4" i="21"/>
  <c r="AE4" i="21"/>
  <c r="X5" i="5"/>
  <c r="AG5" i="5"/>
  <c r="Z4" i="21"/>
  <c r="T4" i="21"/>
  <c r="AH4" i="24"/>
  <c r="H4" i="20"/>
  <c r="F5" i="5"/>
  <c r="AE5" i="5"/>
  <c r="H4" i="25"/>
  <c r="R4" i="15"/>
  <c r="AJ4" i="5"/>
  <c r="I4" i="22"/>
  <c r="AC5" i="4"/>
  <c r="O5" i="4"/>
  <c r="H4" i="15"/>
  <c r="G4" i="20"/>
  <c r="X5" i="4"/>
  <c r="AI3" i="20"/>
  <c r="AG4" i="25"/>
  <c r="U4" i="15"/>
  <c r="O4" i="24"/>
  <c r="J4" i="24"/>
  <c r="AK10" i="21" l="1"/>
  <c r="AK12" i="19"/>
</calcChain>
</file>

<file path=xl/sharedStrings.xml><?xml version="1.0" encoding="utf-8"?>
<sst xmlns="http://schemas.openxmlformats.org/spreadsheetml/2006/main" count="613" uniqueCount="75">
  <si>
    <t>Januari</t>
  </si>
  <si>
    <t>Gereden km</t>
  </si>
  <si>
    <t>Te betalen</t>
  </si>
  <si>
    <t>Naam van werknemer</t>
  </si>
  <si>
    <t>Begin Km maand</t>
  </si>
  <si>
    <t>Eind Km maand</t>
  </si>
  <si>
    <t>Nummerplaat</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</si>
  <si>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</si>
  <si>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</si>
  <si>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</si>
  <si>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</si>
  <si>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</si>
  <si>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</si>
  <si>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</si>
  <si>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</si>
  <si>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</si>
  <si>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</si>
  <si>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</si>
  <si>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</si>
  <si>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</si>
  <si>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</si>
  <si>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</si>
  <si>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</si>
  <si>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</si>
  <si>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</si>
  <si>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</si>
  <si>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</si>
  <si>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</si>
  <si>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</si>
  <si>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</si>
  <si>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</si>
  <si>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</si>
  <si>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</si>
  <si>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</si>
  <si>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</si>
  <si>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</si>
  <si>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</si>
  <si>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</si>
  <si>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Totaal aantal km</t>
  </si>
  <si>
    <t>Handtekening wn</t>
  </si>
  <si>
    <t>Kefes Levent</t>
  </si>
  <si>
    <t>Irakoze Patrick</t>
  </si>
  <si>
    <t>El Maazouzi Abdelilah</t>
  </si>
  <si>
    <t>Biragoye Isaac</t>
  </si>
  <si>
    <t>Februari</t>
  </si>
  <si>
    <t xml:space="preserve"> </t>
  </si>
  <si>
    <t xml:space="preserve">  </t>
  </si>
  <si>
    <t>April</t>
  </si>
  <si>
    <t>Mei</t>
  </si>
  <si>
    <t>Juni</t>
  </si>
  <si>
    <t>Juli</t>
  </si>
  <si>
    <t>Augustus</t>
  </si>
  <si>
    <t>september</t>
  </si>
  <si>
    <t>Oktober</t>
  </si>
  <si>
    <t>November</t>
  </si>
  <si>
    <t>December</t>
  </si>
  <si>
    <t>Totaal kost p/m</t>
  </si>
  <si>
    <t>Totaal</t>
  </si>
  <si>
    <t>Naam werknemer</t>
  </si>
  <si>
    <t>Maart</t>
  </si>
  <si>
    <t>Kilometer werknemers</t>
  </si>
  <si>
    <t>1XCH757</t>
  </si>
  <si>
    <t>1PSF204</t>
  </si>
  <si>
    <t>1CTV786</t>
  </si>
  <si>
    <t>Nsengimana Alexis</t>
  </si>
  <si>
    <t>1SXY394</t>
  </si>
  <si>
    <t>1NUN502</t>
  </si>
  <si>
    <t>Elke dag</t>
  </si>
  <si>
    <t>Kolom1</t>
  </si>
  <si>
    <t>Gultekin A</t>
  </si>
  <si>
    <t>1GLN757</t>
  </si>
  <si>
    <t>Eranil Mehmet Fatih</t>
  </si>
  <si>
    <t>2GRW443</t>
  </si>
  <si>
    <t>1GRW443</t>
  </si>
  <si>
    <t>Eranil Mehmet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</si>
</sst>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_);_(* \(#,##0\);_(* &quot;-&quot;_);_(@_)"/>
    <numFmt numFmtId="165" formatCode="_(* #,##0.00_);_(* \(#,##0.00\);_(* &quot;-&quot;??_);_(@_)"/>
    <numFmt numFmtId="166" formatCode="_-&quot;kr&quot;\ * #,##0.00_-;\-&quot;kr&quot;\ * #,##0.00_-;_-&quot;kr&quot;\ * &quot;-&quot;??_-;_-@_-"/>
    <numFmt numFmtId="167" formatCode="_-&quot;kr&quot;\ * #,##0_-;\-&quot;kr&quot;\ * #,##0_-;_-&quot;kr&quot;\ * &quot;-&quot;_-;_-@_-"/>
  </numFmts>
  <fonts count="19"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26"/>
      <color theme="3" tint="-0.24994659260841701"/>
      <name val="Calibri"/>
      <family val="2"/>
      <scheme val="major"/>
    </font>
    <font>
      <b/>
      <sz val="18"/>
      <color theme="4" tint="-0.24994659260841701"/>
      <name val="Calibri"/>
      <family val="2"/>
      <scheme val="minor"/>
    </font>
    <font>
      <b/>
      <sz val="26"/>
      <color theme="3"/>
      <name val="Calibri"/>
      <family val="2"/>
      <scheme val="minor"/>
    </font>
    <font>
      <sz val="11"/>
      <color theme="4" tint="-0.499984740745262"/>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8"/>
      <name val="Calibri"/>
      <family val="2"/>
      <scheme val="minor"/>
    </font>
  </fonts>
  <fills count="34">
    <fill>
      <patternFill patternType="none"/>
    </fill>
    <fill>
      <patternFill patternType="gray125"/>
    </fill>
    <fill>
      <patternFill patternType="solid">
        <fgColor theme="2"/>
        <bgColor indexed="64"/>
      </patternFill>
    </fill>
    <fill>
      <patternFill patternType="solid">
        <fgColor theme="7"/>
        <bgColor indexed="64"/>
      </patternFill>
    </fill>
    <fill>
      <patternFill patternType="solid">
        <fgColor theme="7" tint="0.79998168889431442"/>
        <bgColor indexed="65"/>
      </patternFill>
    </fill>
    <fill>
      <patternFill patternType="solid">
        <fgColor theme="7" tint="0.39997558519241921"/>
        <bgColor indexed="65"/>
      </patternFill>
    </fill>
    <fill>
      <patternFill patternType="solid">
        <fgColor theme="3" tint="0.79998168889431442"/>
        <bgColor indexed="64"/>
      </patternFill>
    </fill>
    <fill>
      <patternFill patternType="solid">
        <fgColor theme="3" tint="-0.24994659260841701"/>
        <bgColor indexed="64"/>
      </patternFill>
    </fill>
    <fill>
      <patternFill patternType="solid">
        <fgColor theme="3" tint="0.39994506668294322"/>
        <bgColor indexed="64"/>
      </patternFill>
    </fill>
    <fill>
      <patternFill patternType="solid">
        <fgColor theme="7" tint="0.59996337778862885"/>
        <bgColor indexed="64"/>
      </patternFill>
    </fill>
    <fill>
      <patternFill patternType="solid">
        <fgColor theme="5" tint="0.59999389629810485"/>
        <bgColor indexed="65"/>
      </patternFill>
    </fill>
    <fill>
      <patternFill patternType="solid">
        <fgColor theme="6"/>
      </patternFill>
    </fill>
    <fill>
      <patternFill patternType="solid">
        <fgColor theme="6" tint="0.59999389629810485"/>
        <bgColor indexed="65"/>
      </patternFill>
    </fill>
    <fill>
      <patternFill patternType="solid">
        <fgColor theme="6" tint="0.39997558519241921"/>
        <bgColor indexed="65"/>
      </patternFill>
    </fill>
    <fill>
      <patternFill patternType="solid">
        <fgColor theme="8" tint="0.59999389629810485"/>
        <bgColor indexed="65"/>
      </patternFill>
    </fill>
    <fill>
      <patternFill patternType="solid">
        <fgColor theme="4" tint="0.39994506668294322"/>
        <bgColor indexed="64"/>
      </patternFill>
    </fill>
    <fill>
      <patternFill patternType="solid">
        <fgColor theme="4" tint="0.59996337778862885"/>
        <bgColor indexed="64"/>
      </patternFill>
    </fill>
    <fill>
      <patternFill patternType="solid">
        <fgColor theme="4" tint="0.79998168889431442"/>
        <bgColor indexed="64"/>
      </patternFill>
    </fill>
    <fill>
      <patternFill patternType="solid">
        <fgColor rgb="FFF8E3E0"/>
        <bgColor indexed="64"/>
      </patternFill>
    </fill>
    <fill>
      <patternFill patternType="solid">
        <fgColor theme="5" tint="0.39994506668294322"/>
        <bgColor indexed="64"/>
      </patternFill>
    </fill>
    <fill>
      <patternFill patternType="solid">
        <fgColor theme="6" tint="0.599963377788628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5" tint="0.79998168889431442"/>
        <bgColor indexed="65"/>
      </patternFill>
    </fill>
    <fill>
      <patternFill patternType="solid">
        <fgColor theme="5"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39997558519241921"/>
        <bgColor indexed="65"/>
      </patternFill>
    </fill>
    <fill>
      <patternFill patternType="solid">
        <fgColor theme="6" tint="0.79998168889431442"/>
        <bgColor indexed="64"/>
      </patternFill>
    </fill>
  </fills>
  <borders count="11">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top style="thin">
        <color theme="0" tint="-0.14993743705557422"/>
      </top>
      <bottom style="medium">
        <color theme="2" tint="-0.499984740745262"/>
      </bottom>
      <diagonal/>
    </border>
    <border>
      <left style="thin">
        <color theme="0"/>
      </left>
      <right style="thin">
        <color theme="0"/>
      </right>
      <top/>
      <bottom style="medium">
        <color theme="2" tint="-0.499984740745262"/>
      </bottom>
      <diagonal/>
    </border>
    <border>
      <left/>
      <right/>
      <top style="thin">
        <color theme="0" tint="-0.14996795556505021"/>
      </top>
      <bottom style="medium">
        <color theme="2" tint="-0.499984740745262"/>
      </bottom>
      <diagonal/>
    </border>
    <border>
      <left style="medium">
        <color indexed="64"/>
      </left>
      <right style="medium">
        <color indexed="64"/>
      </right>
      <top style="medium">
        <color indexed="64"/>
      </top>
      <bottom style="medium">
        <color indexed="64"/>
      </bottom>
      <diagonal/>
    </border>
  </borders>
  <cellStyleXfs count="49">
    <xf numFmtId="0" fontId="0" fillId="0" borderId="0">
      <alignment horizontal="left" vertical="center"/>
    </xf>
    <xf numFmtId="0" fontId="6" fillId="0" borderId="0" applyNumberFormat="0" applyFill="0" applyBorder="0" applyProtection="0">
      <alignment vertical="top"/>
    </xf>
    <xf numFmtId="0" fontId="4" fillId="0" borderId="0" applyNumberFormat="0" applyFill="0" applyBorder="0" applyProtection="0">
      <alignment vertical="top"/>
    </xf>
    <xf numFmtId="0" fontId="5" fillId="2" borderId="0" applyNumberFormat="0" applyBorder="0" applyProtection="0">
      <alignment horizontal="center" vertical="center"/>
    </xf>
    <xf numFmtId="0" fontId="2" fillId="20" borderId="0" applyNumberFormat="0" applyProtection="0">
      <alignment horizontal="right" vertical="center" indent="1"/>
    </xf>
    <xf numFmtId="0" fontId="1" fillId="0" borderId="0" applyNumberFormat="0" applyFill="0" applyBorder="0" applyProtection="0">
      <alignment horizontal="left" vertical="center" indent="2"/>
    </xf>
    <xf numFmtId="0" fontId="3" fillId="3" borderId="0" applyNumberFormat="0" applyBorder="0" applyAlignment="0" applyProtection="0"/>
    <xf numFmtId="0" fontId="1" fillId="4" borderId="0" applyNumberFormat="0" applyBorder="0" applyProtection="0">
      <alignment horizontal="center" vertical="center"/>
    </xf>
    <xf numFmtId="0" fontId="2" fillId="9" borderId="0" applyNumberFormat="0" applyBorder="0" applyAlignment="0" applyProtection="0"/>
    <xf numFmtId="0" fontId="1" fillId="5" borderId="0" applyNumberFormat="0" applyBorder="0" applyAlignment="0" applyProtection="0"/>
    <xf numFmtId="0" fontId="3" fillId="7" borderId="0" applyNumberFormat="0" applyBorder="0" applyAlignment="0" applyProtection="0"/>
    <xf numFmtId="0" fontId="1" fillId="6" borderId="0" applyNumberFormat="0" applyBorder="0" applyAlignment="0" applyProtection="0"/>
    <xf numFmtId="0" fontId="2" fillId="15" borderId="0" applyNumberFormat="0" applyBorder="0" applyAlignment="0" applyProtection="0"/>
    <xf numFmtId="0" fontId="1" fillId="8" borderId="0" applyNumberFormat="0" applyBorder="0" applyAlignment="0" applyProtection="0"/>
    <xf numFmtId="0" fontId="3" fillId="15" borderId="0" applyNumberFormat="0" applyBorder="0" applyAlignment="0" applyProtection="0"/>
    <xf numFmtId="0" fontId="1" fillId="18" borderId="0" applyNumberFormat="0" applyBorder="0" applyAlignment="0" applyProtection="0"/>
    <xf numFmtId="0" fontId="2" fillId="17"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2" fillId="10" borderId="0" applyNumberFormat="0" applyBorder="0" applyAlignment="0" applyProtection="0"/>
    <xf numFmtId="0" fontId="3" fillId="11" borderId="0" applyNumberFormat="0" applyBorder="0" applyAlignment="0" applyProtection="0"/>
    <xf numFmtId="0" fontId="1" fillId="2" borderId="0" applyNumberFormat="0" applyBorder="0" applyAlignment="0" applyProtection="0"/>
    <xf numFmtId="0" fontId="2" fillId="12" borderId="0" applyNumberFormat="0" applyBorder="0" applyProtection="0">
      <alignment horizontal="left" vertical="center" indent="1"/>
    </xf>
    <xf numFmtId="0" fontId="2" fillId="13" borderId="0" applyNumberFormat="0" applyBorder="0" applyAlignment="0" applyProtection="0"/>
    <xf numFmtId="0" fontId="2" fillId="14" borderId="0" applyNumberFormat="0" applyBorder="0" applyAlignment="0" applyProtection="0"/>
    <xf numFmtId="1" fontId="1" fillId="0" borderId="0" applyFill="0" applyBorder="0" applyProtection="0">
      <alignment horizontal="center" vertical="center"/>
    </xf>
    <xf numFmtId="0" fontId="1" fillId="0" borderId="0" applyNumberFormat="0" applyFill="0" applyBorder="0">
      <alignment horizontal="left" vertical="center" wrapText="1" indent="2"/>
    </xf>
    <xf numFmtId="0" fontId="7" fillId="0" borderId="0">
      <alignment horizontal="center"/>
    </xf>
    <xf numFmtId="165" fontId="1" fillId="0" borderId="0" applyFont="0" applyFill="0" applyBorder="0" applyAlignment="0" applyProtection="0"/>
    <xf numFmtId="164" fontId="1" fillId="0" borderId="0" applyFont="0" applyFill="0" applyBorder="0" applyAlignment="0" applyProtection="0"/>
    <xf numFmtId="166" fontId="1" fillId="0" borderId="0" applyFont="0" applyFill="0" applyBorder="0" applyAlignment="0" applyProtection="0"/>
    <xf numFmtId="167" fontId="1" fillId="0" borderId="0" applyFont="0" applyFill="0" applyBorder="0" applyAlignment="0" applyProtection="0"/>
    <xf numFmtId="9" fontId="1" fillId="0" borderId="0" applyFont="0" applyFill="0" applyBorder="0" applyAlignment="0" applyProtection="0"/>
    <xf numFmtId="0" fontId="8" fillId="21" borderId="0" applyNumberFormat="0" applyBorder="0" applyAlignment="0" applyProtection="0"/>
    <xf numFmtId="0" fontId="9" fillId="22" borderId="0" applyNumberFormat="0" applyBorder="0" applyAlignment="0" applyProtection="0"/>
    <xf numFmtId="0" fontId="10" fillId="23" borderId="0" applyNumberFormat="0" applyBorder="0" applyAlignment="0" applyProtection="0"/>
    <xf numFmtId="0" fontId="11" fillId="24" borderId="1" applyNumberFormat="0" applyAlignment="0" applyProtection="0"/>
    <xf numFmtId="0" fontId="12" fillId="25" borderId="2" applyNumberFormat="0" applyAlignment="0" applyProtection="0"/>
    <xf numFmtId="0" fontId="13" fillId="25" borderId="1" applyNumberFormat="0" applyAlignment="0" applyProtection="0"/>
    <xf numFmtId="0" fontId="14" fillId="0" borderId="3" applyNumberFormat="0" applyFill="0" applyAlignment="0" applyProtection="0"/>
    <xf numFmtId="0" fontId="15" fillId="26" borderId="4" applyNumberFormat="0" applyAlignment="0" applyProtection="0"/>
    <xf numFmtId="0" fontId="16" fillId="0" borderId="0" applyNumberFormat="0" applyFill="0" applyBorder="0" applyAlignment="0" applyProtection="0"/>
    <xf numFmtId="0" fontId="1" fillId="27" borderId="5" applyNumberFormat="0" applyFont="0" applyAlignment="0" applyProtection="0"/>
    <xf numFmtId="0" fontId="17" fillId="0" borderId="0" applyNumberFormat="0" applyFill="0" applyBorder="0" applyAlignment="0" applyProtection="0"/>
    <xf numFmtId="0" fontId="1" fillId="28" borderId="0" applyNumberFormat="0" applyBorder="0" applyAlignment="0" applyProtection="0"/>
    <xf numFmtId="0" fontId="1" fillId="29" borderId="0" applyNumberFormat="0" applyBorder="0" applyAlignment="0" applyProtection="0"/>
    <xf numFmtId="0" fontId="3"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alignment horizontal="left" vertical="center"/>
    </xf>
    <xf numFmtId="0" fontId="0" fillId="0" borderId="0" xfId="0" applyAlignment="1">
      <alignment horizontal="center" vertical="center"/>
    </xf>
    <xf numFmtId="1" fontId="1" fillId="0" borderId="0" xfId="25" applyFill="1" applyBorder="1" applyProtection="1">
      <alignment horizontal="center" vertical="center"/>
    </xf>
    <xf numFmtId="0" fontId="5" fillId="2" borderId="0" xfId="3" applyProtection="1">
      <alignment horizontal="center" vertical="center"/>
    </xf>
    <xf numFmtId="0" fontId="6" fillId="0" borderId="0" xfId="1" applyProtection="1">
      <alignment vertical="top"/>
    </xf>
    <xf numFmtId="0" fontId="1" fillId="2" borderId="0" xfId="21" applyBorder="1" applyAlignment="1" applyProtection="1">
      <alignment horizontal="left" vertical="center" indent="1"/>
    </xf>
    <xf numFmtId="0" fontId="0" fillId="0" borderId="0" xfId="21" applyFont="1" applyFill="1" applyBorder="1" applyAlignment="1" applyProtection="1">
      <alignment horizontal="center" vertical="center"/>
    </xf>
    <xf numFmtId="0" fontId="0" fillId="0" borderId="0" xfId="0" applyAlignment="1">
      <alignment horizontal="left" vertical="center" wrapText="1"/>
    </xf>
    <xf numFmtId="1" fontId="1" fillId="0" borderId="0" xfId="25" applyProtection="1">
      <alignment horizontal="center" vertical="center"/>
    </xf>
    <xf numFmtId="0" fontId="2" fillId="0" borderId="0" xfId="0" applyFont="1">
      <alignment horizontal="left" vertical="center"/>
    </xf>
    <xf numFmtId="0" fontId="0" fillId="0" borderId="6" xfId="0" applyBorder="1">
      <alignment horizontal="left" vertical="center"/>
    </xf>
    <xf numFmtId="0" fontId="2" fillId="0" borderId="0" xfId="0" applyFont="1" applyAlignment="1">
      <alignment horizontal="center" vertical="center"/>
    </xf>
    <xf numFmtId="0" fontId="0" fillId="33" borderId="7" xfId="0" applyFill="1" applyBorder="1">
      <alignment horizontal="left" vertical="center"/>
    </xf>
    <xf numFmtId="0" fontId="0" fillId="33" borderId="8" xfId="0" applyFill="1" applyBorder="1" applyAlignment="1">
      <alignment horizontal="center" vertical="center"/>
    </xf>
    <xf numFmtId="0" fontId="0" fillId="33" borderId="9" xfId="0" applyFill="1" applyBorder="1" applyAlignment="1">
      <alignment horizontal="center" vertical="center"/>
    </xf>
    <xf numFmtId="0" fontId="0" fillId="2" borderId="0" xfId="0" applyFill="1" applyAlignment="1">
      <alignment horizontal="center" vertical="center"/>
    </xf>
    <xf numFmtId="0" fontId="0" fillId="33" borderId="0" xfId="0" applyFill="1" applyAlignment="1">
      <alignment horizontal="center" vertical="center"/>
    </xf>
    <xf numFmtId="0" fontId="6" fillId="0" borderId="0" xfId="1" applyAlignment="1" applyProtection="1">
      <alignment horizontal="center" vertical="top"/>
    </xf>
    <xf numFmtId="0" fontId="0" fillId="0" borderId="0" xfId="0" applyAlignment="1">
      <alignment vertical="center"/>
    </xf>
    <xf numFmtId="0" fontId="5" fillId="2" borderId="0" xfId="3" applyAlignment="1" applyProtection="1">
      <alignment vertical="center"/>
    </xf>
    <xf numFmtId="0" fontId="0" fillId="0" borderId="10" xfId="0" applyBorder="1">
      <alignment horizontal="left" vertical="center"/>
    </xf>
    <xf numFmtId="0" fontId="1" fillId="2" borderId="0" xfId="21" applyBorder="1" applyAlignment="1" applyProtection="1">
      <alignment horizontal="center" vertical="center"/>
    </xf>
    <xf numFmtId="0" fontId="0" fillId="33" borderId="7" xfId="0" applyFill="1" applyBorder="1" applyAlignment="1">
      <alignment horizontal="center" vertical="center"/>
    </xf>
    <xf numFmtId="0" fontId="1" fillId="0" borderId="0" xfId="25" applyNumberFormat="1">
      <alignment horizontal="center" vertical="center"/>
    </xf>
    <xf numFmtId="0" fontId="1" fillId="0" borderId="0" xfId="26" applyFill="1" applyAlignment="1">
      <alignment vertical="center" wrapText="1"/>
    </xf>
    <xf numFmtId="0" fontId="1" fillId="0" borderId="0" xfId="26" applyNumberFormat="1" applyFill="1" applyAlignment="1">
      <alignment horizontal="left" vertical="center" wrapText="1"/>
    </xf>
    <xf numFmtId="0" fontId="1" fillId="0" borderId="0" xfId="26" applyNumberFormat="1" applyFill="1" applyAlignment="1">
      <alignment vertical="center" wrapText="1"/>
    </xf>
    <xf numFmtId="0" fontId="5" fillId="2" borderId="0" xfId="3" applyProtection="1">
      <alignment horizontal="center" vertical="center"/>
    </xf>
  </cellXfs>
  <cellStyles count="49">
    <cellStyle name="20% - Accent1" xfId="15" builtinId="30" customBuiltin="1"/>
    <cellStyle name="20% - Accent2" xfId="44" builtinId="34" customBuiltin="1"/>
    <cellStyle name="20% - Accent3" xfId="21" builtinId="38" customBuiltin="1"/>
    <cellStyle name="20% - Accent4" xfId="7" builtinId="42" customBuiltin="1"/>
    <cellStyle name="20% - Accent5" xfId="47" builtinId="46" customBuiltin="1"/>
    <cellStyle name="20% - Accent6" xfId="11" builtinId="50" customBuiltin="1"/>
    <cellStyle name="40% - Accent1" xfId="16" builtinId="31" customBuiltin="1"/>
    <cellStyle name="40% - Accent2" xfId="19" builtinId="35" customBuiltin="1"/>
    <cellStyle name="40% - Accent3" xfId="22" builtinId="39" customBuiltin="1"/>
    <cellStyle name="40% - Accent4" xfId="8" builtinId="43" customBuiltin="1"/>
    <cellStyle name="40% - Accent5" xfId="24" builtinId="47" customBuiltin="1"/>
    <cellStyle name="40% - Accent6" xfId="12" builtinId="51" customBuiltin="1"/>
    <cellStyle name="60% - Accent1" xfId="17" builtinId="32" customBuiltin="1"/>
    <cellStyle name="60% - Accent2" xfId="45" builtinId="36" customBuiltin="1"/>
    <cellStyle name="60% - Accent3" xfId="23" builtinId="40" customBuiltin="1"/>
    <cellStyle name="60% - Accent4" xfId="9" builtinId="44" customBuiltin="1"/>
    <cellStyle name="60% - Accent5" xfId="48" builtinId="48" customBuiltin="1"/>
    <cellStyle name="60% - Accent6" xfId="13" builtinId="52" customBuiltin="1"/>
    <cellStyle name="Accent1" xfId="14" builtinId="29" customBuiltin="1"/>
    <cellStyle name="Accent2" xfId="18" builtinId="33" customBuiltin="1"/>
    <cellStyle name="Accent3" xfId="20" builtinId="37" customBuiltin="1"/>
    <cellStyle name="Accent4" xfId="6" builtinId="41" customBuiltin="1"/>
    <cellStyle name="Accent5" xfId="46" builtinId="45" customBuiltin="1"/>
    <cellStyle name="Accent6" xfId="10" builtinId="49" customBuiltin="1"/>
    <cellStyle name="Berekening" xfId="38" builtinId="22" customBuiltin="1"/>
    <cellStyle name="Controlecel" xfId="40" builtinId="23" customBuiltin="1"/>
    <cellStyle name="Etiket" xfId="27" xr:uid="{00000000-0005-0000-0000-000018000000}"/>
    <cellStyle name="Gekoppelde cel" xfId="39" builtinId="24" customBuiltin="1"/>
    <cellStyle name="Goed" xfId="33" builtinId="26" customBuiltin="1"/>
    <cellStyle name="Invoer" xfId="36" builtinId="20" customBuiltin="1"/>
    <cellStyle name="Komma" xfId="28" builtinId="3" customBuiltin="1"/>
    <cellStyle name="Komma [0]" xfId="29" builtinId="6" customBuiltin="1"/>
    <cellStyle name="Kop 1" xfId="2" builtinId="16" customBuiltin="1"/>
    <cellStyle name="Kop 2" xfId="3" builtinId="17" customBuiltin="1"/>
    <cellStyle name="Kop 3" xfId="4" builtinId="18" customBuiltin="1"/>
    <cellStyle name="Kop 4" xfId="5" builtinId="19" customBuiltin="1"/>
    <cellStyle name="Neutraal" xfId="35" builtinId="28" customBuiltin="1"/>
    <cellStyle name="Notitie" xfId="42" builtinId="10" customBuiltin="1"/>
    <cellStyle name="Ongeldig" xfId="34" builtinId="27" customBuiltin="1"/>
    <cellStyle name="Procent" xfId="32" builtinId="5" customBuiltin="1"/>
    <cellStyle name="Standaard" xfId="0" builtinId="0" customBuiltin="1"/>
    <cellStyle name="Titel" xfId="1" builtinId="15" customBuiltin="1"/>
    <cellStyle name="Totaal" xfId="25" builtinId="25" customBuiltin="1"/>
    <cellStyle name="Uitvoer" xfId="37" builtinId="21" customBuiltin="1"/>
    <cellStyle name="Valuta" xfId="30" builtinId="4" customBuiltin="1"/>
    <cellStyle name="Valuta [0]" xfId="31" builtinId="7" customBuiltin="1"/>
    <cellStyle name="Verklarende tekst" xfId="43" builtinId="53" customBuiltin="1"/>
    <cellStyle name="Waarschuwingstekst" xfId="41" builtinId="11" customBuiltin="1"/>
    <cellStyle name="Werknemer" xfId="26" xr:uid="{00000000-0005-0000-0000-000013000000}"/>
  </cellStyles>
  <dxfs count="952">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color theme="3"/>
      </font>
      <border>
        <vertical/>
        <horizontal/>
      </border>
    </dxf>
    <dxf>
      <font>
        <color theme="0"/>
      </font>
      <border>
        <vertical/>
        <horizontal/>
      </border>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alignment horizontal="center" textRotation="0" indent="0" justifyLastLine="0" shrinkToFit="0" readingOrder="0"/>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protection locked="1" hidden="0"/>
    </dxf>
    <dxf>
      <numFmt numFmtId="0" formatCode="General"/>
      <alignment horizontal="center" vertical="center" textRotation="0" wrapText="0" indent="0" justifyLastLine="0" shrinkToFit="0" readingOrder="0"/>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numFmt numFmtId="0" formatCode="Genera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numFmt numFmtId="0" formatCode="General"/>
      <fill>
        <patternFill patternType="none">
          <fgColor indexed="64"/>
          <bgColor indexed="65"/>
        </patternFill>
      </fill>
      <protection locked="1" hidden="0"/>
    </dxf>
    <dxf>
      <protection locked="1" hidden="0"/>
    </dxf>
    <dxf>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numFmt numFmtId="1" formatCode="0"/>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font>
        <b val="0"/>
        <i val="0"/>
        <strike val="0"/>
        <condense val="0"/>
        <extend val="0"/>
        <outline val="0"/>
        <shadow val="0"/>
        <u val="none"/>
        <vertAlign val="baseline"/>
        <sz val="11"/>
        <color theme="1"/>
        <name val="Calibri"/>
        <family val="2"/>
        <scheme val="minor"/>
      </font>
      <numFmt numFmtId="168" formatCode="0;0;"/>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protection locked="1" hidden="0"/>
    </dxf>
    <dxf>
      <alignment horizontal="center" vertic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1" justifyLastLine="0" shrinkToFit="0" readingOrder="0"/>
      <border diagonalUp="0" diagonalDown="0" outline="0">
        <left/>
        <right/>
        <top/>
        <bottom/>
      </border>
      <protection locked="1" hidden="0"/>
    </dxf>
    <dxf>
      <fill>
        <patternFill patternType="none">
          <fgColor indexed="64"/>
          <bgColor indexed="65"/>
        </patternFill>
      </fill>
      <protection locked="1" hidden="0"/>
    </dxf>
    <dxf>
      <protection locked="1" hidden="0"/>
    </dxf>
    <dxf>
      <protection locked="1" hidden="0"/>
    </dxf>
    <dxf>
      <protection locked="1" hidden="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protection locked="1" hidden="0"/>
    </dxf>
    <dxf>
      <fill>
        <patternFill patternType="solid">
          <fgColor indexed="64"/>
          <bgColor theme="2"/>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protection locked="1" hidden="0"/>
    </dxf>
    <dxf>
      <protection locked="1" hidden="0"/>
    </dxf>
    <dxf>
      <protection locked="1" hidden="0"/>
    </dxf>
    <dxf>
      <fill>
        <patternFill patternType="solid">
          <bgColor theme="6" tint="0.79998168889431442"/>
        </patternFill>
      </fill>
      <border diagonalUp="0" diagonalDown="0">
        <left/>
        <right/>
        <top style="thin">
          <color theme="0" tint="-0.14996795556505021"/>
        </top>
        <bottom style="medium">
          <color theme="2" tint="-0.499984740745262"/>
        </bottom>
        <vertical/>
        <horizontal/>
      </border>
    </dxf>
    <dxf>
      <font>
        <color theme="1"/>
      </font>
      <fill>
        <patternFill patternType="solid">
          <bgColor theme="6" tint="0.79998168889431442"/>
        </patternFill>
      </fill>
      <border diagonalUp="0" diagonalDown="0">
        <left/>
        <right/>
        <top style="thin">
          <color theme="0" tint="-0.14993743705557422"/>
        </top>
        <bottom style="medium">
          <color theme="2" tint="-0.499984740745262"/>
        </bottom>
        <vertical/>
        <horizontal style="thin">
          <color theme="0" tint="-0.14993743705557422"/>
        </horizontal>
      </border>
    </dxf>
    <dxf>
      <font>
        <color theme="1"/>
      </font>
      <fill>
        <patternFill patternType="solid">
          <bgColor theme="2"/>
        </patternFill>
      </fill>
      <border diagonalUp="0" diagonalDown="0">
        <left/>
        <right/>
        <top/>
        <bottom style="thin">
          <color theme="0" tint="-0.14996795556505021"/>
        </bottom>
        <vertical/>
        <horizontal/>
      </border>
    </dxf>
    <dxf>
      <font>
        <color theme="1"/>
      </font>
      <fill>
        <patternFill patternType="none">
          <bgColor auto="1"/>
        </patternFill>
      </fill>
      <border diagonalUp="0" diagonalDown="0">
        <left/>
        <right/>
        <top style="thin">
          <color theme="0" tint="-0.14996795556505021"/>
        </top>
        <bottom style="thin">
          <color theme="0" tint="-0.14993743705557422"/>
        </bottom>
        <vertical/>
        <horizontal/>
      </border>
    </dxf>
    <dxf>
      <fill>
        <patternFill>
          <bgColor theme="0" tint="-0.14996795556505021"/>
        </patternFill>
      </fill>
      <border>
        <left style="thin">
          <color theme="0"/>
        </left>
        <right style="thin">
          <color theme="0"/>
        </right>
        <vertical style="thin">
          <color theme="0"/>
        </vertical>
      </border>
    </dxf>
    <dxf>
      <fill>
        <patternFill>
          <bgColor theme="0" tint="-4.9989318521683403E-2"/>
        </patternFill>
      </fill>
      <border>
        <left style="thin">
          <color theme="0"/>
        </left>
        <right style="thin">
          <color theme="0"/>
        </right>
        <vertical style="thin">
          <color theme="0"/>
        </vertical>
      </border>
    </dxf>
    <dxf>
      <fill>
        <patternFill>
          <bgColor theme="0" tint="-0.14996795556505021"/>
        </patternFill>
      </fill>
    </dxf>
    <dxf>
      <fill>
        <patternFill patternType="solid">
          <fgColor theme="4" tint="0.79992065187536243"/>
          <bgColor theme="0" tint="-4.9989318521683403E-2"/>
        </patternFill>
      </fill>
    </dxf>
    <dxf>
      <font>
        <color theme="1"/>
      </font>
      <fill>
        <patternFill patternType="none">
          <bgColor auto="1"/>
        </patternFill>
      </fill>
      <border diagonalUp="0" diagonalDown="0">
        <left/>
        <right/>
        <top/>
        <bottom style="thin">
          <color theme="0" tint="-0.14996795556505021"/>
        </bottom>
        <vertical/>
        <horizontal style="thin">
          <color theme="0" tint="-0.14996795556505021"/>
        </horizontal>
      </border>
    </dxf>
    <dxf>
      <font>
        <color theme="1"/>
      </font>
      <fill>
        <patternFill patternType="none">
          <bgColor auto="1"/>
        </patternFill>
      </fill>
      <border>
        <left/>
        <right/>
        <top style="thin">
          <color theme="2" tint="-9.9917600024414813E-2"/>
        </top>
        <bottom style="thin">
          <color theme="2" tint="-9.9948118533890809E-2"/>
        </bottom>
        <vertical/>
        <horizontal style="thin">
          <color theme="2" tint="-9.9917600024414813E-2"/>
        </horizontal>
      </border>
    </dxf>
    <dxf>
      <font>
        <color theme="1"/>
      </font>
      <fill>
        <patternFill>
          <bgColor theme="6" tint="0.79998168889431442"/>
        </patternFill>
      </fill>
      <border diagonalUp="0" diagonalDown="0">
        <left style="thin">
          <color theme="0"/>
        </left>
        <right style="thin">
          <color theme="0"/>
        </right>
        <top/>
        <bottom style="medium">
          <color theme="2" tint="-0.499984740745262"/>
        </bottom>
        <vertical style="thin">
          <color theme="0"/>
        </vertical>
        <horizontal/>
      </border>
    </dxf>
    <dxf>
      <font>
        <color theme="0"/>
      </font>
      <fill>
        <patternFill>
          <bgColor theme="3"/>
        </patternFill>
      </fill>
    </dxf>
    <dxf>
      <font>
        <color theme="1"/>
      </font>
      <border diagonalUp="0" diagonalDown="0">
        <left/>
        <right/>
        <top/>
        <bottom/>
        <vertical style="thin">
          <color theme="0"/>
        </vertical>
        <horizontal/>
      </border>
    </dxf>
  </dxfs>
  <tableStyles count="1" defaultPivotStyle="PivotStyleLight16">
    <tableStyle name="Werknemers Verzuimtabel" pivot="0" count="13" xr9:uid="{00000000-0011-0000-FFFF-FFFF00000000}">
      <tableStyleElement type="wholeTable" dxfId="951"/>
      <tableStyleElement type="headerRow" dxfId="950"/>
      <tableStyleElement type="totalRow" dxfId="949"/>
      <tableStyleElement type="firstColumn" dxfId="948"/>
      <tableStyleElement type="lastColumn" dxfId="947"/>
      <tableStyleElement type="firstRowStripe" dxfId="946"/>
      <tableStyleElement type="secondRowStripe" dxfId="945"/>
      <tableStyleElement type="firstColumnStripe" dxfId="944"/>
      <tableStyleElement type="secondColumnStripe" dxfId="943"/>
      <tableStyleElement type="firstHeaderCell" dxfId="942"/>
      <tableStyleElement type="lastHeaderCell" dxfId="941"/>
      <tableStyleElement type="firstTotalCell" dxfId="940"/>
      <tableStyleElement type="lastTotalCell" dxfId="93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Januari" displayName="Januari" ref="B6:AL11" totalsRowCount="1" headerRowDxfId="938" dataDxfId="937" totalsRowDxfId="936">
  <autoFilter ref="B6:AL10"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autoFilter>
  <sortState xmlns:xlrd2="http://schemas.microsoft.com/office/spreadsheetml/2017/richdata2" ref="B7:AL10">
    <sortCondition ref="B7:B10"/>
  </sortState>
  <tableColumns count="37">
    <tableColumn id="1" xr3:uid="{00000000-0010-0000-0000-000001000000}" name="Naam werknemer" dataCellStyle="Werknemer"/>
    <tableColumn id="35" xr3:uid="{18FA012E-DC17-49D7-BEDE-10043B49627C}" name="Begin Km maand" dataDxfId="935" totalsRowDxfId="934"/>
    <tableColumn id="36" xr3:uid="{13DED2BD-CF3C-4CC5-81F4-DC63D1A9989D}" name="Eind Km maand" dataDxfId="933" totalsRowDxfId="932"/>
    <tableColumn id="39" xr3:uid="{B1B4AD2D-6C4B-474F-A038-48C4D12A89B5}" name="Nummerplaat" dataDxfId="931" totalsRowDxfId="930"/>
    <tableColumn id="2" xr3:uid="{00000000-0010-0000-0000-000002000000}" name="1" dataDxfId="929" totalsRowDxfId="928"/>
    <tableColumn id="3" xr3:uid="{00000000-0010-0000-0000-000003000000}" name="2" dataDxfId="927" totalsRowDxfId="926"/>
    <tableColumn id="4" xr3:uid="{00000000-0010-0000-0000-000004000000}" name="3" dataDxfId="925" totalsRowDxfId="924"/>
    <tableColumn id="5" xr3:uid="{00000000-0010-0000-0000-000005000000}" name="4" dataDxfId="923" totalsRowDxfId="922"/>
    <tableColumn id="6" xr3:uid="{00000000-0010-0000-0000-000006000000}" name="5" dataDxfId="921" totalsRowDxfId="920"/>
    <tableColumn id="7" xr3:uid="{00000000-0010-0000-0000-000007000000}" name="6" dataDxfId="919" totalsRowDxfId="918"/>
    <tableColumn id="8" xr3:uid="{00000000-0010-0000-0000-000008000000}" name="7" dataDxfId="917" totalsRowDxfId="916"/>
    <tableColumn id="9" xr3:uid="{00000000-0010-0000-0000-000009000000}" name="8" dataDxfId="915" totalsRowDxfId="914"/>
    <tableColumn id="10" xr3:uid="{00000000-0010-0000-0000-00000A000000}" name="9" dataDxfId="913" totalsRowDxfId="912"/>
    <tableColumn id="11" xr3:uid="{00000000-0010-0000-0000-00000B000000}" name="10" dataDxfId="911" totalsRowDxfId="910"/>
    <tableColumn id="12" xr3:uid="{00000000-0010-0000-0000-00000C000000}" name="11" dataDxfId="909" totalsRowDxfId="908"/>
    <tableColumn id="13" xr3:uid="{00000000-0010-0000-0000-00000D000000}" name="12" dataDxfId="907" totalsRowDxfId="906"/>
    <tableColumn id="14" xr3:uid="{00000000-0010-0000-0000-00000E000000}" name="13" dataDxfId="905" totalsRowDxfId="904"/>
    <tableColumn id="15" xr3:uid="{00000000-0010-0000-0000-00000F000000}" name="14" dataDxfId="903" totalsRowDxfId="902"/>
    <tableColumn id="16" xr3:uid="{00000000-0010-0000-0000-000010000000}" name="15" dataDxfId="901" totalsRowDxfId="900"/>
    <tableColumn id="17" xr3:uid="{00000000-0010-0000-0000-000011000000}" name="16" dataDxfId="899" totalsRowDxfId="898"/>
    <tableColumn id="18" xr3:uid="{00000000-0010-0000-0000-000012000000}" name="17" dataDxfId="897" totalsRowDxfId="896"/>
    <tableColumn id="19" xr3:uid="{00000000-0010-0000-0000-000013000000}" name="18" dataDxfId="895" totalsRowDxfId="894"/>
    <tableColumn id="20" xr3:uid="{00000000-0010-0000-0000-000014000000}" name="19" dataDxfId="893" totalsRowDxfId="892"/>
    <tableColumn id="21" xr3:uid="{00000000-0010-0000-0000-000015000000}" name="20" dataDxfId="891" totalsRowDxfId="890"/>
    <tableColumn id="22" xr3:uid="{00000000-0010-0000-0000-000016000000}" name="21" dataDxfId="889" totalsRowDxfId="888"/>
    <tableColumn id="23" xr3:uid="{00000000-0010-0000-0000-000017000000}" name="22" dataDxfId="887" totalsRowDxfId="886"/>
    <tableColumn id="24" xr3:uid="{00000000-0010-0000-0000-000018000000}" name="23" dataDxfId="885" totalsRowDxfId="884"/>
    <tableColumn id="25" xr3:uid="{00000000-0010-0000-0000-000019000000}" name="24" dataDxfId="883" totalsRowDxfId="882"/>
    <tableColumn id="26" xr3:uid="{00000000-0010-0000-0000-00001A000000}" name="25" dataDxfId="881" totalsRowDxfId="880"/>
    <tableColumn id="27" xr3:uid="{00000000-0010-0000-0000-00001B000000}" name="26" dataDxfId="879" totalsRowDxfId="878"/>
    <tableColumn id="28" xr3:uid="{00000000-0010-0000-0000-00001C000000}" name="27" dataDxfId="877" totalsRowDxfId="876"/>
    <tableColumn id="29" xr3:uid="{00000000-0010-0000-0000-00001D000000}" name="28" dataDxfId="875" totalsRowDxfId="874"/>
    <tableColumn id="30" xr3:uid="{00000000-0010-0000-0000-00001E000000}" name="29" dataDxfId="873" totalsRowDxfId="872"/>
    <tableColumn id="31" xr3:uid="{00000000-0010-0000-0000-00001F000000}" name="30" dataDxfId="871" totalsRowDxfId="870"/>
    <tableColumn id="32" xr3:uid="{00000000-0010-0000-0000-000020000000}" name="31" dataDxfId="869" totalsRowDxfId="868"/>
    <tableColumn id="33" xr3:uid="{00000000-0010-0000-0000-000021000000}" name="Totaal aantal km" totalsRowLabel="Totaal" dataDxfId="867" totalsRowDxfId="866" dataCellStyle="Totaal">
      <calculatedColumnFormula>SUM(F7:AJ7)</calculatedColumnFormula>
    </tableColumn>
    <tableColumn id="34" xr3:uid="{90472154-5D3E-42F4-9CA2-36EDA122E591}" name="Totaal kost p/m" totalsRowFunction="custom" dataDxfId="865" totalsRowDxfId="864">
      <calculatedColumnFormula>Januari[[#This Row],[Totaal aantal km]]*0.4</calculatedColumnFormula>
      <totalsRowFormula>SUM(AL7:AL10)</totalsRow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ebruari" displayName="Februari" ref="A6:AJ11" headerRowDxfId="863" dataDxfId="862" totalsRowDxfId="861">
  <sortState xmlns:xlrd2="http://schemas.microsoft.com/office/spreadsheetml/2017/richdata2" ref="A7:AJ11">
    <sortCondition ref="A7:A11"/>
  </sortState>
  <tableColumns count="36">
    <tableColumn id="1" xr3:uid="{00000000-0010-0000-0100-000001000000}" name="Naam van werknemer" totalsRowFunction="custom" dataDxfId="860" totalsRowDxfId="859" dataCellStyle="Werknemer">
      <totalsRowFormula>MonthName&amp;" Totaal"</totalsRowFormula>
    </tableColumn>
    <tableColumn id="36" xr3:uid="{BDA5F8F5-0991-41A2-9492-11C7CAB648B3}" name="Begin Km maand" dataDxfId="858"/>
    <tableColumn id="35" xr3:uid="{EAE51D2D-C9D0-4807-9A04-83F102280272}" name="Eind Km maand" dataDxfId="857"/>
    <tableColumn id="37" xr3:uid="{94D30377-DD5A-4DFC-A6CA-2935C4A01132}" name="Nummerplaat" dataDxfId="856"/>
    <tableColumn id="2" xr3:uid="{00000000-0010-0000-0100-000002000000}" name="1" totalsRowFunction="count" dataDxfId="855" totalsRowDxfId="854"/>
    <tableColumn id="3" xr3:uid="{00000000-0010-0000-0100-000003000000}" name="2" totalsRowFunction="count" dataDxfId="853" totalsRowDxfId="852"/>
    <tableColumn id="4" xr3:uid="{00000000-0010-0000-0100-000004000000}" name="3" totalsRowFunction="count" dataDxfId="851" totalsRowDxfId="850"/>
    <tableColumn id="5" xr3:uid="{00000000-0010-0000-0100-000005000000}" name="4" totalsRowFunction="count" dataDxfId="849" totalsRowDxfId="848"/>
    <tableColumn id="6" xr3:uid="{00000000-0010-0000-0100-000006000000}" name="5" totalsRowFunction="count" dataDxfId="847" totalsRowDxfId="846"/>
    <tableColumn id="7" xr3:uid="{00000000-0010-0000-0100-000007000000}" name="6" totalsRowFunction="count" dataDxfId="845" totalsRowDxfId="844"/>
    <tableColumn id="8" xr3:uid="{00000000-0010-0000-0100-000008000000}" name="7" totalsRowFunction="count" dataDxfId="843" totalsRowDxfId="842"/>
    <tableColumn id="9" xr3:uid="{00000000-0010-0000-0100-000009000000}" name="8" totalsRowFunction="count" dataDxfId="841" totalsRowDxfId="840"/>
    <tableColumn id="10" xr3:uid="{00000000-0010-0000-0100-00000A000000}" name="9" totalsRowFunction="count" dataDxfId="839" totalsRowDxfId="838"/>
    <tableColumn id="11" xr3:uid="{00000000-0010-0000-0100-00000B000000}" name="10" totalsRowFunction="count" dataDxfId="837" totalsRowDxfId="836"/>
    <tableColumn id="12" xr3:uid="{00000000-0010-0000-0100-00000C000000}" name="11" totalsRowFunction="count" dataDxfId="835" totalsRowDxfId="834"/>
    <tableColumn id="13" xr3:uid="{00000000-0010-0000-0100-00000D000000}" name="12" totalsRowFunction="count" dataDxfId="833" totalsRowDxfId="832"/>
    <tableColumn id="14" xr3:uid="{00000000-0010-0000-0100-00000E000000}" name="13" totalsRowFunction="count" dataDxfId="831" totalsRowDxfId="830"/>
    <tableColumn id="15" xr3:uid="{00000000-0010-0000-0100-00000F000000}" name="14" totalsRowFunction="count" dataDxfId="829" totalsRowDxfId="828"/>
    <tableColumn id="16" xr3:uid="{00000000-0010-0000-0100-000010000000}" name="15" totalsRowFunction="count" dataDxfId="827" totalsRowDxfId="826"/>
    <tableColumn id="17" xr3:uid="{00000000-0010-0000-0100-000011000000}" name="16" totalsRowFunction="count" dataDxfId="825" totalsRowDxfId="824"/>
    <tableColumn id="18" xr3:uid="{00000000-0010-0000-0100-000012000000}" name="17" totalsRowFunction="count" dataDxfId="823" totalsRowDxfId="822"/>
    <tableColumn id="19" xr3:uid="{00000000-0010-0000-0100-000013000000}" name="18" totalsRowFunction="count" dataDxfId="821" totalsRowDxfId="820"/>
    <tableColumn id="20" xr3:uid="{00000000-0010-0000-0100-000014000000}" name="19" totalsRowFunction="count" dataDxfId="819" totalsRowDxfId="818"/>
    <tableColumn id="21" xr3:uid="{00000000-0010-0000-0100-000015000000}" name="20" totalsRowFunction="count" dataDxfId="817" totalsRowDxfId="816"/>
    <tableColumn id="22" xr3:uid="{00000000-0010-0000-0100-000016000000}" name="21" totalsRowFunction="count" dataDxfId="815" totalsRowDxfId="814"/>
    <tableColumn id="23" xr3:uid="{00000000-0010-0000-0100-000017000000}" name="22" totalsRowFunction="count" dataDxfId="813" totalsRowDxfId="812"/>
    <tableColumn id="24" xr3:uid="{00000000-0010-0000-0100-000018000000}" name="23" totalsRowFunction="count" dataDxfId="811" totalsRowDxfId="810"/>
    <tableColumn id="25" xr3:uid="{00000000-0010-0000-0100-000019000000}" name="24" totalsRowFunction="count" dataDxfId="809" totalsRowDxfId="808"/>
    <tableColumn id="26" xr3:uid="{00000000-0010-0000-0100-00001A000000}" name="25" totalsRowFunction="count" dataDxfId="807" totalsRowDxfId="806"/>
    <tableColumn id="27" xr3:uid="{00000000-0010-0000-0100-00001B000000}" name="26" totalsRowFunction="count" dataDxfId="805" totalsRowDxfId="804"/>
    <tableColumn id="28" xr3:uid="{00000000-0010-0000-0100-00001C000000}" name="27" totalsRowFunction="count" dataDxfId="803" totalsRowDxfId="802"/>
    <tableColumn id="29" xr3:uid="{00000000-0010-0000-0100-00001D000000}" name="28" totalsRowFunction="count" dataDxfId="801" totalsRowDxfId="800"/>
    <tableColumn id="30" xr3:uid="{00000000-0010-0000-0100-00001E000000}" name="29" totalsRowFunction="count" dataDxfId="799" totalsRowDxfId="798"/>
    <tableColumn id="31" xr3:uid="{00000000-0010-0000-0100-00001F000000}" name=" " dataDxfId="797" totalsRowDxfId="796"/>
    <tableColumn id="32" xr3:uid="{00000000-0010-0000-0100-000020000000}" name="  " dataDxfId="795" totalsRowDxfId="794"/>
    <tableColumn id="33" xr3:uid="{00000000-0010-0000-0100-000021000000}" name="Totaal aantal km" totalsRowFunction="sum" dataDxfId="793" totalsRowDxfId="792" dataCellStyle="Totaal">
      <calculatedColumnFormula>SUM(Februari[[#This Row],[1]:[29]])</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2000000}" name="Maart" displayName="Maart" ref="A5:AJ11" headerRowDxfId="791" dataDxfId="790" totalsRowDxfId="789">
  <tableColumns count="36">
    <tableColumn id="1" xr3:uid="{00000000-0010-0000-0200-000001000000}" name="Naam van werknemer" totalsRowFunction="custom" dataDxfId="788" totalsRowDxfId="787" dataCellStyle="Werknemer">
      <totalsRowFormula>MonthName&amp;" Totaal"</totalsRowFormula>
    </tableColumn>
    <tableColumn id="37" xr3:uid="{81E1AE5B-6421-4A3C-B473-7EFA38FACF50}" name="Begin Km maand" dataDxfId="786" totalsRowDxfId="785"/>
    <tableColumn id="36" xr3:uid="{82E2D12D-FABB-4251-84BB-C34315C465AF}" name="Eind Km maand" dataDxfId="784" totalsRowDxfId="783"/>
    <tableColumn id="35" xr3:uid="{05B55883-06F1-442A-BD72-5AECC3B5FEAD}" name="Nummerplaat" dataDxfId="782" totalsRowDxfId="781"/>
    <tableColumn id="2" xr3:uid="{00000000-0010-0000-0200-000002000000}" name="1" totalsRowFunction="count" dataDxfId="780" totalsRowDxfId="779"/>
    <tableColumn id="3" xr3:uid="{00000000-0010-0000-0200-000003000000}" name="2" totalsRowFunction="count" dataDxfId="778" totalsRowDxfId="777"/>
    <tableColumn id="4" xr3:uid="{00000000-0010-0000-0200-000004000000}" name="3" totalsRowFunction="count" dataDxfId="776" totalsRowDxfId="775"/>
    <tableColumn id="5" xr3:uid="{00000000-0010-0000-0200-000005000000}" name="4" totalsRowFunction="count" dataDxfId="774" totalsRowDxfId="773"/>
    <tableColumn id="6" xr3:uid="{00000000-0010-0000-0200-000006000000}" name="5" totalsRowFunction="count" dataDxfId="772" totalsRowDxfId="771"/>
    <tableColumn id="7" xr3:uid="{00000000-0010-0000-0200-000007000000}" name="6" totalsRowFunction="count" dataDxfId="770" totalsRowDxfId="769"/>
    <tableColumn id="8" xr3:uid="{00000000-0010-0000-0200-000008000000}" name="7" totalsRowFunction="count" dataDxfId="768" totalsRowDxfId="767"/>
    <tableColumn id="9" xr3:uid="{00000000-0010-0000-0200-000009000000}" name="8" totalsRowFunction="count" dataDxfId="766" totalsRowDxfId="765"/>
    <tableColumn id="10" xr3:uid="{00000000-0010-0000-0200-00000A000000}" name="9" totalsRowFunction="count" dataDxfId="764" totalsRowDxfId="763"/>
    <tableColumn id="11" xr3:uid="{00000000-0010-0000-0200-00000B000000}" name="10" totalsRowFunction="count" dataDxfId="762" totalsRowDxfId="761"/>
    <tableColumn id="12" xr3:uid="{00000000-0010-0000-0200-00000C000000}" name="11" totalsRowFunction="count" dataDxfId="760" totalsRowDxfId="759"/>
    <tableColumn id="13" xr3:uid="{00000000-0010-0000-0200-00000D000000}" name="12" totalsRowFunction="count" dataDxfId="758" totalsRowDxfId="757"/>
    <tableColumn id="14" xr3:uid="{00000000-0010-0000-0200-00000E000000}" name="13" totalsRowFunction="count" dataDxfId="756" totalsRowDxfId="755"/>
    <tableColumn id="15" xr3:uid="{00000000-0010-0000-0200-00000F000000}" name="14" totalsRowFunction="count" dataDxfId="754" totalsRowDxfId="753"/>
    <tableColumn id="16" xr3:uid="{00000000-0010-0000-0200-000010000000}" name="15" totalsRowFunction="count" dataDxfId="752" totalsRowDxfId="751"/>
    <tableColumn id="17" xr3:uid="{00000000-0010-0000-0200-000011000000}" name="16" totalsRowFunction="count" dataDxfId="750" totalsRowDxfId="749"/>
    <tableColumn id="18" xr3:uid="{00000000-0010-0000-0200-000012000000}" name="17" totalsRowFunction="count" dataDxfId="748" totalsRowDxfId="747"/>
    <tableColumn id="19" xr3:uid="{00000000-0010-0000-0200-000013000000}" name="18" totalsRowFunction="count" dataDxfId="746" totalsRowDxfId="745"/>
    <tableColumn id="20" xr3:uid="{00000000-0010-0000-0200-000014000000}" name="19" totalsRowFunction="count" dataDxfId="744" totalsRowDxfId="743"/>
    <tableColumn id="21" xr3:uid="{00000000-0010-0000-0200-000015000000}" name="20" totalsRowFunction="count" dataDxfId="742" totalsRowDxfId="741"/>
    <tableColumn id="22" xr3:uid="{00000000-0010-0000-0200-000016000000}" name="21" totalsRowFunction="count" dataDxfId="740" totalsRowDxfId="739"/>
    <tableColumn id="23" xr3:uid="{00000000-0010-0000-0200-000017000000}" name="22" totalsRowFunction="count" dataDxfId="738" totalsRowDxfId="737"/>
    <tableColumn id="24" xr3:uid="{00000000-0010-0000-0200-000018000000}" name="23" totalsRowFunction="count" dataDxfId="736" totalsRowDxfId="735"/>
    <tableColumn id="25" xr3:uid="{00000000-0010-0000-0200-000019000000}" name="24" totalsRowFunction="count" dataDxfId="734" totalsRowDxfId="733"/>
    <tableColumn id="26" xr3:uid="{00000000-0010-0000-0200-00001A000000}" name="25" totalsRowFunction="count" dataDxfId="732" totalsRowDxfId="731"/>
    <tableColumn id="27" xr3:uid="{00000000-0010-0000-0200-00001B000000}" name="26" totalsRowFunction="count" dataDxfId="730" totalsRowDxfId="729"/>
    <tableColumn id="28" xr3:uid="{00000000-0010-0000-0200-00001C000000}" name="27" totalsRowFunction="count" dataDxfId="728" totalsRowDxfId="727"/>
    <tableColumn id="29" xr3:uid="{00000000-0010-0000-0200-00001D000000}" name="28" totalsRowFunction="count" dataDxfId="726" totalsRowDxfId="725"/>
    <tableColumn id="30" xr3:uid="{00000000-0010-0000-0200-00001E000000}" name="29" totalsRowFunction="count" dataDxfId="724" totalsRowDxfId="723"/>
    <tableColumn id="31" xr3:uid="{00000000-0010-0000-0200-00001F000000}" name="30" totalsRowFunction="count" dataDxfId="722" totalsRowDxfId="721"/>
    <tableColumn id="32" xr3:uid="{00000000-0010-0000-0200-000020000000}" name="31" totalsRowFunction="count" dataDxfId="720" totalsRowDxfId="719"/>
    <tableColumn id="33" xr3:uid="{00000000-0010-0000-0200-000021000000}" name="Totaal aantal km" totalsRowFunction="sum" dataDxfId="718" totalsRowDxfId="717" dataCellStyle="Totaal">
      <calculatedColumnFormula>SUM(Maart[[#This Row],[1]:[31]])</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3000000}" name="April" displayName="April" ref="A5:AI11" headerRowDxfId="716" dataDxfId="715" totalsRowDxfId="714">
  <sortState xmlns:xlrd2="http://schemas.microsoft.com/office/spreadsheetml/2017/richdata2" ref="A6:AI11">
    <sortCondition ref="A6:A11"/>
  </sortState>
  <tableColumns count="35">
    <tableColumn id="1" xr3:uid="{00000000-0010-0000-0300-000001000000}" name="Naam van werknemer" totalsRowFunction="custom" dataDxfId="713" totalsRowDxfId="712" dataCellStyle="Werknemer">
      <totalsRowFormula>MonthName&amp;" Totaal"</totalsRowFormula>
    </tableColumn>
    <tableColumn id="34" xr3:uid="{12626692-CF98-4996-A08C-742A9CB91E17}" name="Begin Km maand" dataDxfId="711" totalsRowDxfId="710"/>
    <tableColumn id="37" xr3:uid="{B0032890-667C-4418-940F-1A825884707D}" name="Eind Km maand" dataDxfId="709" totalsRowDxfId="708"/>
    <tableColumn id="36" xr3:uid="{4905827C-A473-428A-B876-CBA1A33478D9}" name="Nummerplaat" dataDxfId="707"/>
    <tableColumn id="2" xr3:uid="{00000000-0010-0000-0300-000002000000}" name="1" totalsRowFunction="count" dataDxfId="706" totalsRowDxfId="705"/>
    <tableColumn id="3" xr3:uid="{00000000-0010-0000-0300-000003000000}" name="Kolom1" totalsRowFunction="count" dataDxfId="704" totalsRowDxfId="703"/>
    <tableColumn id="4" xr3:uid="{00000000-0010-0000-0300-000004000000}" name="2" totalsRowFunction="count" dataDxfId="702" totalsRowDxfId="701"/>
    <tableColumn id="5" xr3:uid="{00000000-0010-0000-0300-000005000000}" name="3" totalsRowFunction="count" dataDxfId="700" totalsRowDxfId="699"/>
    <tableColumn id="6" xr3:uid="{00000000-0010-0000-0300-000006000000}" name="4" totalsRowFunction="count" dataDxfId="698" totalsRowDxfId="697"/>
    <tableColumn id="7" xr3:uid="{00000000-0010-0000-0300-000007000000}" name="5" totalsRowFunction="count" dataDxfId="696" totalsRowDxfId="695"/>
    <tableColumn id="8" xr3:uid="{00000000-0010-0000-0300-000008000000}" name="6" totalsRowFunction="count" dataDxfId="694" totalsRowDxfId="693"/>
    <tableColumn id="9" xr3:uid="{00000000-0010-0000-0300-000009000000}" name="7" totalsRowFunction="count" dataDxfId="692" totalsRowDxfId="691"/>
    <tableColumn id="10" xr3:uid="{00000000-0010-0000-0300-00000A000000}" name="8" totalsRowFunction="count" dataDxfId="690" totalsRowDxfId="689"/>
    <tableColumn id="11" xr3:uid="{00000000-0010-0000-0300-00000B000000}" name="9" totalsRowFunction="count" dataDxfId="688" totalsRowDxfId="687"/>
    <tableColumn id="12" xr3:uid="{00000000-0010-0000-0300-00000C000000}" name="10" totalsRowFunction="count" dataDxfId="686" totalsRowDxfId="685"/>
    <tableColumn id="13" xr3:uid="{00000000-0010-0000-0300-00000D000000}" name="11" totalsRowFunction="count" dataDxfId="684" totalsRowDxfId="683"/>
    <tableColumn id="14" xr3:uid="{00000000-0010-0000-0300-00000E000000}" name="12" totalsRowFunction="count" dataDxfId="682" totalsRowDxfId="681"/>
    <tableColumn id="15" xr3:uid="{00000000-0010-0000-0300-00000F000000}" name="13" totalsRowFunction="count" dataDxfId="680" totalsRowDxfId="679"/>
    <tableColumn id="16" xr3:uid="{00000000-0010-0000-0300-000010000000}" name="14" totalsRowFunction="count" dataDxfId="678" totalsRowDxfId="677"/>
    <tableColumn id="17" xr3:uid="{00000000-0010-0000-0300-000011000000}" name="15" totalsRowFunction="count" dataDxfId="676" totalsRowDxfId="675"/>
    <tableColumn id="18" xr3:uid="{00000000-0010-0000-0300-000012000000}" name="16" totalsRowFunction="count" dataDxfId="674" totalsRowDxfId="673"/>
    <tableColumn id="19" xr3:uid="{00000000-0010-0000-0300-000013000000}" name="17" totalsRowFunction="count" dataDxfId="672" totalsRowDxfId="671"/>
    <tableColumn id="20" xr3:uid="{00000000-0010-0000-0300-000014000000}" name="18" totalsRowFunction="count" dataDxfId="670" totalsRowDxfId="669"/>
    <tableColumn id="21" xr3:uid="{00000000-0010-0000-0300-000015000000}" name="19" totalsRowFunction="count" dataDxfId="668" totalsRowDxfId="667"/>
    <tableColumn id="22" xr3:uid="{00000000-0010-0000-0300-000016000000}" name="20" totalsRowFunction="count" dataDxfId="666" totalsRowDxfId="665"/>
    <tableColumn id="23" xr3:uid="{00000000-0010-0000-0300-000017000000}" name="21" totalsRowFunction="count" dataDxfId="664" totalsRowDxfId="663"/>
    <tableColumn id="24" xr3:uid="{00000000-0010-0000-0300-000018000000}" name="22" totalsRowFunction="count" dataDxfId="662" totalsRowDxfId="661"/>
    <tableColumn id="25" xr3:uid="{00000000-0010-0000-0300-000019000000}" name="23" totalsRowFunction="count" dataDxfId="660" totalsRowDxfId="659"/>
    <tableColumn id="26" xr3:uid="{00000000-0010-0000-0300-00001A000000}" name="24" totalsRowFunction="count" dataDxfId="658" totalsRowDxfId="657"/>
    <tableColumn id="27" xr3:uid="{00000000-0010-0000-0300-00001B000000}" name="25" totalsRowFunction="count" dataDxfId="656" totalsRowDxfId="655"/>
    <tableColumn id="28" xr3:uid="{00000000-0010-0000-0300-00001C000000}" name="26" totalsRowFunction="count" dataDxfId="654" totalsRowDxfId="653"/>
    <tableColumn id="29" xr3:uid="{00000000-0010-0000-0300-00001D000000}" name="27" totalsRowFunction="count" dataDxfId="652" totalsRowDxfId="651"/>
    <tableColumn id="30" xr3:uid="{00000000-0010-0000-0300-00001E000000}" name="28" totalsRowFunction="count" dataDxfId="650" totalsRowDxfId="649"/>
    <tableColumn id="31" xr3:uid="{00000000-0010-0000-0300-00001F000000}" name="29" totalsRowFunction="count" dataDxfId="648" totalsRowDxfId="647"/>
    <tableColumn id="33" xr3:uid="{00000000-0010-0000-0300-000021000000}" name="Totaal aantal km" totalsRowFunction="sum" dataDxfId="646" totalsRowDxfId="645" dataCellStyle="Totaal">
      <calculatedColumnFormula>SUM(April[[#This Row],[1]:[29]])</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Mei" displayName="Mei" ref="A5:AJ11" headerRowDxfId="644" dataDxfId="643" totalsRowDxfId="642">
  <sortState xmlns:xlrd2="http://schemas.microsoft.com/office/spreadsheetml/2017/richdata2" ref="A6:AJ11">
    <sortCondition ref="A6:A11"/>
  </sortState>
  <tableColumns count="36">
    <tableColumn id="1" xr3:uid="{00000000-0010-0000-0400-000001000000}" name="Naam van werknemer" totalsRowFunction="custom" dataDxfId="641" totalsRowDxfId="640" dataCellStyle="Werknemer">
      <totalsRowFormula>MonthName&amp;" Totaal"</totalsRowFormula>
    </tableColumn>
    <tableColumn id="35" xr3:uid="{F3A0BE1E-07D4-422C-837E-E44638878798}" name="Begin Km maand" dataDxfId="639" totalsRowDxfId="638"/>
    <tableColumn id="36" xr3:uid="{0DE62A80-8240-40DF-9777-FC6C6D4A2BDB}" name="Eind Km maand" dataDxfId="637" totalsRowDxfId="636"/>
    <tableColumn id="37" xr3:uid="{FE94FA1A-6596-4CF0-8227-47CD15946F24}" name="Nummerplaat" dataDxfId="635"/>
    <tableColumn id="2" xr3:uid="{00000000-0010-0000-0400-000002000000}" name="1" totalsRowFunction="count" dataDxfId="634" totalsRowDxfId="633"/>
    <tableColumn id="3" xr3:uid="{00000000-0010-0000-0400-000003000000}" name="2" totalsRowFunction="count" dataDxfId="632" totalsRowDxfId="631"/>
    <tableColumn id="4" xr3:uid="{00000000-0010-0000-0400-000004000000}" name="3" totalsRowFunction="count" dataDxfId="630" totalsRowDxfId="629"/>
    <tableColumn id="5" xr3:uid="{00000000-0010-0000-0400-000005000000}" name="4" totalsRowFunction="count" dataDxfId="628" totalsRowDxfId="627"/>
    <tableColumn id="6" xr3:uid="{00000000-0010-0000-0400-000006000000}" name="5" totalsRowFunction="count" dataDxfId="626" totalsRowDxfId="625"/>
    <tableColumn id="7" xr3:uid="{00000000-0010-0000-0400-000007000000}" name="6" totalsRowFunction="count" dataDxfId="624" totalsRowDxfId="623"/>
    <tableColumn id="8" xr3:uid="{00000000-0010-0000-0400-000008000000}" name="7" totalsRowFunction="count" dataDxfId="622" totalsRowDxfId="621"/>
    <tableColumn id="9" xr3:uid="{00000000-0010-0000-0400-000009000000}" name="8" totalsRowFunction="count" dataDxfId="620" totalsRowDxfId="619"/>
    <tableColumn id="10" xr3:uid="{00000000-0010-0000-0400-00000A000000}" name="9" totalsRowFunction="count" dataDxfId="618" totalsRowDxfId="617"/>
    <tableColumn id="11" xr3:uid="{00000000-0010-0000-0400-00000B000000}" name="10" totalsRowFunction="count" dataDxfId="616" totalsRowDxfId="615"/>
    <tableColumn id="12" xr3:uid="{00000000-0010-0000-0400-00000C000000}" name="11" totalsRowFunction="count" dataDxfId="614" totalsRowDxfId="613"/>
    <tableColumn id="13" xr3:uid="{00000000-0010-0000-0400-00000D000000}" name="12" totalsRowFunction="count" dataDxfId="612" totalsRowDxfId="611"/>
    <tableColumn id="14" xr3:uid="{00000000-0010-0000-0400-00000E000000}" name="13" totalsRowFunction="count" dataDxfId="610" totalsRowDxfId="609"/>
    <tableColumn id="15" xr3:uid="{00000000-0010-0000-0400-00000F000000}" name="14" totalsRowFunction="count" dataDxfId="608" totalsRowDxfId="607"/>
    <tableColumn id="16" xr3:uid="{00000000-0010-0000-0400-000010000000}" name="15" totalsRowFunction="count" dataDxfId="606" totalsRowDxfId="605"/>
    <tableColumn id="17" xr3:uid="{00000000-0010-0000-0400-000011000000}" name="16" totalsRowFunction="count" dataDxfId="604" totalsRowDxfId="603"/>
    <tableColumn id="18" xr3:uid="{00000000-0010-0000-0400-000012000000}" name="17" totalsRowFunction="count" dataDxfId="602" totalsRowDxfId="601"/>
    <tableColumn id="19" xr3:uid="{00000000-0010-0000-0400-000013000000}" name="18" totalsRowFunction="count" dataDxfId="600" totalsRowDxfId="599"/>
    <tableColumn id="20" xr3:uid="{00000000-0010-0000-0400-000014000000}" name="19" totalsRowFunction="count" dataDxfId="598" totalsRowDxfId="597"/>
    <tableColumn id="21" xr3:uid="{00000000-0010-0000-0400-000015000000}" name="20" totalsRowFunction="count" dataDxfId="596" totalsRowDxfId="595"/>
    <tableColumn id="22" xr3:uid="{00000000-0010-0000-0400-000016000000}" name="21" totalsRowFunction="count" dataDxfId="594" totalsRowDxfId="593"/>
    <tableColumn id="23" xr3:uid="{00000000-0010-0000-0400-000017000000}" name="22" totalsRowFunction="count" dataDxfId="592" totalsRowDxfId="591"/>
    <tableColumn id="24" xr3:uid="{00000000-0010-0000-0400-000018000000}" name="23" totalsRowFunction="count" dataDxfId="590" totalsRowDxfId="589"/>
    <tableColumn id="25" xr3:uid="{00000000-0010-0000-0400-000019000000}" name="24" totalsRowFunction="count" dataDxfId="588" totalsRowDxfId="587"/>
    <tableColumn id="26" xr3:uid="{00000000-0010-0000-0400-00001A000000}" name="25" totalsRowFunction="count" dataDxfId="586" totalsRowDxfId="585"/>
    <tableColumn id="27" xr3:uid="{00000000-0010-0000-0400-00001B000000}" name="26" totalsRowFunction="count" dataDxfId="584" totalsRowDxfId="583"/>
    <tableColumn id="28" xr3:uid="{00000000-0010-0000-0400-00001C000000}" name="27" totalsRowFunction="count" dataDxfId="582" totalsRowDxfId="581"/>
    <tableColumn id="29" xr3:uid="{00000000-0010-0000-0400-00001D000000}" name="28" totalsRowFunction="count" dataDxfId="580" totalsRowDxfId="579"/>
    <tableColumn id="30" xr3:uid="{00000000-0010-0000-0400-00001E000000}" name="29" totalsRowFunction="count" dataDxfId="578" totalsRowDxfId="577"/>
    <tableColumn id="31" xr3:uid="{00000000-0010-0000-0400-00001F000000}" name="30" totalsRowFunction="count" dataDxfId="576" totalsRowDxfId="575"/>
    <tableColumn id="32" xr3:uid="{00000000-0010-0000-0400-000020000000}" name="31" totalsRowFunction="count" dataDxfId="574" totalsRowDxfId="573"/>
    <tableColumn id="33" xr3:uid="{00000000-0010-0000-0400-000021000000}" name="Totaal aantal km" totalsRowFunction="sum" dataDxfId="572" totalsRowDxfId="571" dataCellStyle="Totaal">
      <calculatedColumnFormula>SUM(Mei[[#This Row],[1]:[31]])</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Juni" displayName="Juni" ref="A5:AI11" headerRowDxfId="570" dataDxfId="569" totalsRowDxfId="568">
  <sortState xmlns:xlrd2="http://schemas.microsoft.com/office/spreadsheetml/2017/richdata2" ref="A6:AI11">
    <sortCondition ref="A6:A11"/>
  </sortState>
  <tableColumns count="35">
    <tableColumn id="1" xr3:uid="{00000000-0010-0000-0500-000001000000}" name="Naam van werknemer" totalsRowFunction="custom" dataDxfId="567" totalsRowDxfId="566" dataCellStyle="Werknemer">
      <totalsRowFormula>MonthName&amp;" Totaal"</totalsRowFormula>
    </tableColumn>
    <tableColumn id="34" xr3:uid="{9BD4BF29-2455-45EE-A6C1-483E9EF5FD33}" name="Begin Km maand" dataDxfId="565" totalsRowDxfId="564"/>
    <tableColumn id="36" xr3:uid="{6D4843E5-44B4-40D2-86AC-6D2A0ACE0BBE}" name="Eind Km maand" dataDxfId="563" totalsRowDxfId="562"/>
    <tableColumn id="37" xr3:uid="{09570927-6A3D-4703-BF83-1B4628995456}" name="Nummerplaat" dataDxfId="561" totalsRowDxfId="560"/>
    <tableColumn id="2" xr3:uid="{00000000-0010-0000-0500-000002000000}" name="1" totalsRowFunction="count" dataDxfId="559" totalsRowDxfId="558"/>
    <tableColumn id="3" xr3:uid="{00000000-0010-0000-0500-000003000000}" name="2" totalsRowFunction="count" dataDxfId="557" totalsRowDxfId="556"/>
    <tableColumn id="4" xr3:uid="{00000000-0010-0000-0500-000004000000}" name="3" totalsRowFunction="count" dataDxfId="555" totalsRowDxfId="554"/>
    <tableColumn id="5" xr3:uid="{00000000-0010-0000-0500-000005000000}" name="4" totalsRowFunction="count" dataDxfId="553" totalsRowDxfId="552"/>
    <tableColumn id="6" xr3:uid="{00000000-0010-0000-0500-000006000000}" name="5" totalsRowFunction="count" dataDxfId="551" totalsRowDxfId="550"/>
    <tableColumn id="7" xr3:uid="{00000000-0010-0000-0500-000007000000}" name="6" totalsRowFunction="count" dataDxfId="549" totalsRowDxfId="548"/>
    <tableColumn id="8" xr3:uid="{00000000-0010-0000-0500-000008000000}" name="7" totalsRowFunction="count" dataDxfId="547" totalsRowDxfId="546"/>
    <tableColumn id="9" xr3:uid="{00000000-0010-0000-0500-000009000000}" name="8" totalsRowFunction="count" dataDxfId="545" totalsRowDxfId="544"/>
    <tableColumn id="10" xr3:uid="{00000000-0010-0000-0500-00000A000000}" name="9" totalsRowFunction="count" dataDxfId="543" totalsRowDxfId="542"/>
    <tableColumn id="11" xr3:uid="{00000000-0010-0000-0500-00000B000000}" name="10" totalsRowFunction="count" dataDxfId="541" totalsRowDxfId="540"/>
    <tableColumn id="12" xr3:uid="{00000000-0010-0000-0500-00000C000000}" name="11" totalsRowFunction="count" dataDxfId="539" totalsRowDxfId="538"/>
    <tableColumn id="13" xr3:uid="{00000000-0010-0000-0500-00000D000000}" name="12" totalsRowFunction="count" dataDxfId="537" totalsRowDxfId="536"/>
    <tableColumn id="14" xr3:uid="{00000000-0010-0000-0500-00000E000000}" name="13" totalsRowFunction="count" dataDxfId="535" totalsRowDxfId="534"/>
    <tableColumn id="15" xr3:uid="{00000000-0010-0000-0500-00000F000000}" name="14" totalsRowFunction="count" dataDxfId="533" totalsRowDxfId="532"/>
    <tableColumn id="16" xr3:uid="{00000000-0010-0000-0500-000010000000}" name="15" totalsRowFunction="count" dataDxfId="531" totalsRowDxfId="530"/>
    <tableColumn id="17" xr3:uid="{00000000-0010-0000-0500-000011000000}" name="16" totalsRowFunction="count" dataDxfId="529" totalsRowDxfId="528"/>
    <tableColumn id="18" xr3:uid="{00000000-0010-0000-0500-000012000000}" name="17" totalsRowFunction="count" dataDxfId="527" totalsRowDxfId="526"/>
    <tableColumn id="19" xr3:uid="{00000000-0010-0000-0500-000013000000}" name="18" totalsRowFunction="count" dataDxfId="525" totalsRowDxfId="524"/>
    <tableColumn id="20" xr3:uid="{00000000-0010-0000-0500-000014000000}" name="19" totalsRowFunction="count" dataDxfId="523" totalsRowDxfId="522"/>
    <tableColumn id="21" xr3:uid="{00000000-0010-0000-0500-000015000000}" name="20" totalsRowFunction="count" dataDxfId="521" totalsRowDxfId="520"/>
    <tableColumn id="22" xr3:uid="{00000000-0010-0000-0500-000016000000}" name="21" totalsRowFunction="count" dataDxfId="519" totalsRowDxfId="518"/>
    <tableColumn id="23" xr3:uid="{00000000-0010-0000-0500-000017000000}" name="22" totalsRowFunction="count" dataDxfId="517" totalsRowDxfId="516"/>
    <tableColumn id="24" xr3:uid="{00000000-0010-0000-0500-000018000000}" name="23" totalsRowFunction="count" dataDxfId="515" totalsRowDxfId="514"/>
    <tableColumn id="25" xr3:uid="{00000000-0010-0000-0500-000019000000}" name="24" totalsRowFunction="count" dataDxfId="513" totalsRowDxfId="512"/>
    <tableColumn id="26" xr3:uid="{00000000-0010-0000-0500-00001A000000}" name="25" totalsRowFunction="count" dataDxfId="511" totalsRowDxfId="510"/>
    <tableColumn id="27" xr3:uid="{00000000-0010-0000-0500-00001B000000}" name="26" totalsRowFunction="count" dataDxfId="509" totalsRowDxfId="508"/>
    <tableColumn id="28" xr3:uid="{00000000-0010-0000-0500-00001C000000}" name="27" totalsRowFunction="count" dataDxfId="507" totalsRowDxfId="506"/>
    <tableColumn id="29" xr3:uid="{00000000-0010-0000-0500-00001D000000}" name="28" totalsRowFunction="count" dataDxfId="505" totalsRowDxfId="504"/>
    <tableColumn id="30" xr3:uid="{00000000-0010-0000-0500-00001E000000}" name="29" totalsRowFunction="count" dataDxfId="503" totalsRowDxfId="502"/>
    <tableColumn id="31" xr3:uid="{00000000-0010-0000-0500-00001F000000}" name="30" totalsRowFunction="count" dataDxfId="501" totalsRowDxfId="500"/>
    <tableColumn id="33" xr3:uid="{00000000-0010-0000-0500-000021000000}" name="Totaal aantal km" totalsRowFunction="sum" dataDxfId="499" totalsRowDxfId="498" dataCellStyle="Totaal">
      <calculatedColumnFormula>SUM(Juni[[#This Row],[1]:[30]])</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Juli" displayName="Juli" ref="A5:AJ9" headerRowDxfId="497" dataDxfId="496" totalsRowDxfId="495">
  <sortState xmlns:xlrd2="http://schemas.microsoft.com/office/spreadsheetml/2017/richdata2" ref="A6:AJ9">
    <sortCondition ref="A6:A9"/>
  </sortState>
  <tableColumns count="36">
    <tableColumn id="1" xr3:uid="{00000000-0010-0000-0600-000001000000}" name="Naam van werknemer" totalsRowFunction="custom" dataDxfId="494" totalsRowDxfId="493" dataCellStyle="Werknemer">
      <totalsRowFormula>MonthName&amp;" Totaal"</totalsRowFormula>
    </tableColumn>
    <tableColumn id="34" xr3:uid="{9A5D7F06-7A59-42DD-8C8D-21FAAD199883}" name="Begin Km maand" dataDxfId="492" totalsRowDxfId="491"/>
    <tableColumn id="36" xr3:uid="{E8B5D7D2-E576-40F9-9AC8-6263CD9C4CB4}" name="Eind Km maand" dataDxfId="490" totalsRowDxfId="489"/>
    <tableColumn id="37" xr3:uid="{F2F52ADF-1754-41ED-8874-E4E4471E02CA}" name="Nummerplaat" dataDxfId="488" totalsRowDxfId="487"/>
    <tableColumn id="2" xr3:uid="{00000000-0010-0000-0600-000002000000}" name="1" totalsRowFunction="count" dataDxfId="486" totalsRowDxfId="485"/>
    <tableColumn id="3" xr3:uid="{00000000-0010-0000-0600-000003000000}" name="2" totalsRowFunction="count" dataDxfId="484" totalsRowDxfId="483"/>
    <tableColumn id="4" xr3:uid="{00000000-0010-0000-0600-000004000000}" name="3" totalsRowFunction="count" dataDxfId="482" totalsRowDxfId="481"/>
    <tableColumn id="5" xr3:uid="{00000000-0010-0000-0600-000005000000}" name="4" totalsRowFunction="count" dataDxfId="480" totalsRowDxfId="479"/>
    <tableColumn id="6" xr3:uid="{00000000-0010-0000-0600-000006000000}" name="5" totalsRowFunction="count" dataDxfId="478" totalsRowDxfId="477"/>
    <tableColumn id="7" xr3:uid="{00000000-0010-0000-0600-000007000000}" name="6" totalsRowFunction="count" dataDxfId="476" totalsRowDxfId="475"/>
    <tableColumn id="8" xr3:uid="{00000000-0010-0000-0600-000008000000}" name="7" totalsRowFunction="count" dataDxfId="474" totalsRowDxfId="473"/>
    <tableColumn id="9" xr3:uid="{00000000-0010-0000-0600-000009000000}" name="8" totalsRowFunction="count" dataDxfId="472" totalsRowDxfId="471"/>
    <tableColumn id="10" xr3:uid="{00000000-0010-0000-0600-00000A000000}" name="9" totalsRowFunction="count" dataDxfId="470" totalsRowDxfId="469"/>
    <tableColumn id="11" xr3:uid="{00000000-0010-0000-0600-00000B000000}" name="10" totalsRowFunction="count" dataDxfId="468" totalsRowDxfId="467"/>
    <tableColumn id="12" xr3:uid="{00000000-0010-0000-0600-00000C000000}" name="11" totalsRowFunction="count" dataDxfId="466" totalsRowDxfId="465"/>
    <tableColumn id="13" xr3:uid="{00000000-0010-0000-0600-00000D000000}" name="12" totalsRowFunction="count" dataDxfId="464" totalsRowDxfId="463"/>
    <tableColumn id="14" xr3:uid="{00000000-0010-0000-0600-00000E000000}" name="13" totalsRowFunction="count" dataDxfId="462" totalsRowDxfId="461"/>
    <tableColumn id="15" xr3:uid="{00000000-0010-0000-0600-00000F000000}" name="14" totalsRowFunction="count" dataDxfId="460" totalsRowDxfId="459"/>
    <tableColumn id="16" xr3:uid="{00000000-0010-0000-0600-000010000000}" name="15" totalsRowFunction="count" dataDxfId="458" totalsRowDxfId="457"/>
    <tableColumn id="17" xr3:uid="{00000000-0010-0000-0600-000011000000}" name="16" totalsRowFunction="count" dataDxfId="456" totalsRowDxfId="455"/>
    <tableColumn id="18" xr3:uid="{00000000-0010-0000-0600-000012000000}" name="17" totalsRowFunction="count" dataDxfId="454" totalsRowDxfId="453"/>
    <tableColumn id="19" xr3:uid="{00000000-0010-0000-0600-000013000000}" name="18" totalsRowFunction="count" dataDxfId="452" totalsRowDxfId="451"/>
    <tableColumn id="20" xr3:uid="{00000000-0010-0000-0600-000014000000}" name="19" totalsRowFunction="count" dataDxfId="450" totalsRowDxfId="449"/>
    <tableColumn id="21" xr3:uid="{00000000-0010-0000-0600-000015000000}" name="20" totalsRowFunction="count" dataDxfId="448" totalsRowDxfId="447"/>
    <tableColumn id="22" xr3:uid="{00000000-0010-0000-0600-000016000000}" name="21" totalsRowFunction="count" dataDxfId="446" totalsRowDxfId="445"/>
    <tableColumn id="23" xr3:uid="{00000000-0010-0000-0600-000017000000}" name="22" totalsRowFunction="count" dataDxfId="444" totalsRowDxfId="443"/>
    <tableColumn id="24" xr3:uid="{00000000-0010-0000-0600-000018000000}" name="23" totalsRowFunction="count" dataDxfId="442" totalsRowDxfId="441"/>
    <tableColumn id="25" xr3:uid="{00000000-0010-0000-0600-000019000000}" name="24" totalsRowFunction="count" dataDxfId="440" totalsRowDxfId="439"/>
    <tableColumn id="26" xr3:uid="{00000000-0010-0000-0600-00001A000000}" name="25" totalsRowFunction="count" dataDxfId="438" totalsRowDxfId="437"/>
    <tableColumn id="27" xr3:uid="{00000000-0010-0000-0600-00001B000000}" name="26" totalsRowFunction="count" dataDxfId="436" totalsRowDxfId="435"/>
    <tableColumn id="28" xr3:uid="{00000000-0010-0000-0600-00001C000000}" name="27" totalsRowFunction="count" dataDxfId="434" totalsRowDxfId="433"/>
    <tableColumn id="29" xr3:uid="{00000000-0010-0000-0600-00001D000000}" name="28" totalsRowFunction="count" dataDxfId="432" totalsRowDxfId="431"/>
    <tableColumn id="30" xr3:uid="{00000000-0010-0000-0600-00001E000000}" name="29" totalsRowFunction="count" dataDxfId="430" totalsRowDxfId="429"/>
    <tableColumn id="31" xr3:uid="{00000000-0010-0000-0600-00001F000000}" name="30" totalsRowFunction="count" dataDxfId="428" totalsRowDxfId="427"/>
    <tableColumn id="32" xr3:uid="{00000000-0010-0000-0600-000020000000}" name="31" totalsRowFunction="count" dataDxfId="426" totalsRowDxfId="425"/>
    <tableColumn id="33" xr3:uid="{00000000-0010-0000-0600-000021000000}" name="Totaal aantal km" totalsRowFunction="sum" dataDxfId="424" totalsRowDxfId="423" dataCellStyle="Totaal">
      <calculatedColumnFormula>SUM(Juli[[#This Row],[1]:[31]])</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7000000}" name="Augustus" displayName="Augustus" ref="A5:AJ9" headerRowDxfId="422" dataDxfId="421" totalsRowDxfId="420">
  <sortState xmlns:xlrd2="http://schemas.microsoft.com/office/spreadsheetml/2017/richdata2" ref="A6:AJ9">
    <sortCondition ref="A6:A9"/>
  </sortState>
  <tableColumns count="36">
    <tableColumn id="1" xr3:uid="{00000000-0010-0000-0700-000001000000}" name="Naam van werknemer" totalsRowFunction="custom" dataDxfId="419" totalsRowDxfId="418" dataCellStyle="Werknemer">
      <totalsRowFormula>MonthName&amp;" Totaal"</totalsRowFormula>
    </tableColumn>
    <tableColumn id="34" xr3:uid="{C63DF5F2-901F-4D81-87A0-5CE286D9041A}" name="Begin Km maand" dataDxfId="417" totalsRowDxfId="416"/>
    <tableColumn id="36" xr3:uid="{A09DA68E-6F2D-4AD7-90ED-13112A5CB5FB}" name="Eind Km maand" dataDxfId="415" totalsRowDxfId="414"/>
    <tableColumn id="37" xr3:uid="{1BF3BC26-734F-4BC9-8466-DA7C9551892C}" name="Nummerplaat" dataDxfId="413" totalsRowDxfId="412"/>
    <tableColumn id="2" xr3:uid="{00000000-0010-0000-0700-000002000000}" name="1" totalsRowFunction="count" dataDxfId="411" totalsRowDxfId="410"/>
    <tableColumn id="3" xr3:uid="{00000000-0010-0000-0700-000003000000}" name="2" totalsRowFunction="count" dataDxfId="409" totalsRowDxfId="408"/>
    <tableColumn id="4" xr3:uid="{00000000-0010-0000-0700-000004000000}" name="3" totalsRowFunction="count" dataDxfId="407" totalsRowDxfId="406"/>
    <tableColumn id="5" xr3:uid="{00000000-0010-0000-0700-000005000000}" name="4" totalsRowFunction="count" dataDxfId="405" totalsRowDxfId="404"/>
    <tableColumn id="6" xr3:uid="{00000000-0010-0000-0700-000006000000}" name="5" totalsRowFunction="count" dataDxfId="403" totalsRowDxfId="402"/>
    <tableColumn id="7" xr3:uid="{00000000-0010-0000-0700-000007000000}" name="6" totalsRowFunction="count" dataDxfId="401" totalsRowDxfId="400"/>
    <tableColumn id="8" xr3:uid="{00000000-0010-0000-0700-000008000000}" name="7" totalsRowFunction="count" dataDxfId="399" totalsRowDxfId="398"/>
    <tableColumn id="9" xr3:uid="{00000000-0010-0000-0700-000009000000}" name="8" totalsRowFunction="count" dataDxfId="397" totalsRowDxfId="396"/>
    <tableColumn id="10" xr3:uid="{00000000-0010-0000-0700-00000A000000}" name="9" totalsRowFunction="count" dataDxfId="395" totalsRowDxfId="394"/>
    <tableColumn id="11" xr3:uid="{00000000-0010-0000-0700-00000B000000}" name="10" totalsRowFunction="count" dataDxfId="393" totalsRowDxfId="392"/>
    <tableColumn id="12" xr3:uid="{00000000-0010-0000-0700-00000C000000}" name="11" totalsRowFunction="count" dataDxfId="391" totalsRowDxfId="390"/>
    <tableColumn id="13" xr3:uid="{00000000-0010-0000-0700-00000D000000}" name="12" totalsRowFunction="count" dataDxfId="389" totalsRowDxfId="388"/>
    <tableColumn id="14" xr3:uid="{00000000-0010-0000-0700-00000E000000}" name="13" totalsRowFunction="count" dataDxfId="387" totalsRowDxfId="386"/>
    <tableColumn id="15" xr3:uid="{00000000-0010-0000-0700-00000F000000}" name="14" totalsRowFunction="count" dataDxfId="385" totalsRowDxfId="384"/>
    <tableColumn id="16" xr3:uid="{00000000-0010-0000-0700-000010000000}" name="15" totalsRowFunction="count" dataDxfId="383" totalsRowDxfId="382"/>
    <tableColumn id="17" xr3:uid="{00000000-0010-0000-0700-000011000000}" name="16" totalsRowFunction="count" dataDxfId="381" totalsRowDxfId="380"/>
    <tableColumn id="18" xr3:uid="{00000000-0010-0000-0700-000012000000}" name="17" totalsRowFunction="count" dataDxfId="379" totalsRowDxfId="378"/>
    <tableColumn id="19" xr3:uid="{00000000-0010-0000-0700-000013000000}" name="18" totalsRowFunction="count" dataDxfId="377" totalsRowDxfId="376"/>
    <tableColumn id="20" xr3:uid="{00000000-0010-0000-0700-000014000000}" name="19" totalsRowFunction="count" dataDxfId="375" totalsRowDxfId="374"/>
    <tableColumn id="21" xr3:uid="{00000000-0010-0000-0700-000015000000}" name="20" totalsRowFunction="count" dataDxfId="373" totalsRowDxfId="372"/>
    <tableColumn id="22" xr3:uid="{00000000-0010-0000-0700-000016000000}" name="21" totalsRowFunction="count" dataDxfId="371" totalsRowDxfId="370"/>
    <tableColumn id="23" xr3:uid="{00000000-0010-0000-0700-000017000000}" name="22" totalsRowFunction="count" dataDxfId="369" totalsRowDxfId="368"/>
    <tableColumn id="24" xr3:uid="{00000000-0010-0000-0700-000018000000}" name="23" totalsRowFunction="count" dataDxfId="367" totalsRowDxfId="366"/>
    <tableColumn id="25" xr3:uid="{00000000-0010-0000-0700-000019000000}" name="24" totalsRowFunction="count" dataDxfId="365" totalsRowDxfId="364"/>
    <tableColumn id="26" xr3:uid="{00000000-0010-0000-0700-00001A000000}" name="25" totalsRowFunction="count" dataDxfId="363" totalsRowDxfId="362"/>
    <tableColumn id="27" xr3:uid="{00000000-0010-0000-0700-00001B000000}" name="26" totalsRowFunction="count" dataDxfId="361" totalsRowDxfId="360"/>
    <tableColumn id="28" xr3:uid="{00000000-0010-0000-0700-00001C000000}" name="27" totalsRowFunction="count" dataDxfId="359" totalsRowDxfId="358"/>
    <tableColumn id="29" xr3:uid="{00000000-0010-0000-0700-00001D000000}" name="28" totalsRowFunction="count" dataDxfId="357" totalsRowDxfId="356"/>
    <tableColumn id="30" xr3:uid="{00000000-0010-0000-0700-00001E000000}" name="29" totalsRowFunction="count" dataDxfId="355" totalsRowDxfId="354"/>
    <tableColumn id="31" xr3:uid="{00000000-0010-0000-0700-00001F000000}" name="30" totalsRowFunction="count" dataDxfId="353" totalsRowDxfId="352"/>
    <tableColumn id="32" xr3:uid="{00000000-0010-0000-0700-000020000000}" name="31" totalsRowFunction="count" dataDxfId="351" totalsRowDxfId="350"/>
    <tableColumn id="33" xr3:uid="{00000000-0010-0000-0700-000021000000}" name="Totaal aantal km" totalsRowFunction="sum" dataDxfId="349" totalsRowDxfId="348" dataCellStyle="Totaal">
      <calculatedColumnFormula>SUM(Augustus[[#This Row],[1]:[31]])</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8000000}" name="September" displayName="September" ref="A5:AI10" headerRowDxfId="347" dataDxfId="346" totalsRowDxfId="345">
  <sortState xmlns:xlrd2="http://schemas.microsoft.com/office/spreadsheetml/2017/richdata2" ref="A6:AI10">
    <sortCondition ref="A6:A10"/>
  </sortState>
  <tableColumns count="35">
    <tableColumn id="1" xr3:uid="{00000000-0010-0000-0800-000001000000}" name="Naam van werknemer" totalsRowFunction="custom" dataDxfId="344" totalsRowDxfId="343" dataCellStyle="Werknemer">
      <totalsRowFormula>MonthName&amp;" Totaal"</totalsRowFormula>
    </tableColumn>
    <tableColumn id="34" xr3:uid="{5D24FF42-A964-47BE-8B67-534A1C46A7BB}" name="Begin Km maand" dataDxfId="342" totalsRowDxfId="341"/>
    <tableColumn id="36" xr3:uid="{E22F6E19-1A56-4D3D-8D14-3A3007E6AA81}" name="Eind Km maand" dataDxfId="340" totalsRowDxfId="339"/>
    <tableColumn id="37" xr3:uid="{90C4FC7E-A389-4537-A08B-5F8E50C8FD86}" name="Nummerplaat" dataDxfId="338" totalsRowDxfId="337"/>
    <tableColumn id="2" xr3:uid="{00000000-0010-0000-0800-000002000000}" name="1" totalsRowFunction="count" dataDxfId="336" totalsRowDxfId="335"/>
    <tableColumn id="3" xr3:uid="{00000000-0010-0000-0800-000003000000}" name="2" totalsRowFunction="count" dataDxfId="334" totalsRowDxfId="333"/>
    <tableColumn id="4" xr3:uid="{00000000-0010-0000-0800-000004000000}" name="3" totalsRowFunction="count" dataDxfId="332" totalsRowDxfId="331"/>
    <tableColumn id="5" xr3:uid="{00000000-0010-0000-0800-000005000000}" name="4" totalsRowFunction="count" dataDxfId="330" totalsRowDxfId="329"/>
    <tableColumn id="6" xr3:uid="{00000000-0010-0000-0800-000006000000}" name="5" totalsRowFunction="count" dataDxfId="328" totalsRowDxfId="327"/>
    <tableColumn id="7" xr3:uid="{00000000-0010-0000-0800-000007000000}" name="6" totalsRowFunction="count" dataDxfId="326" totalsRowDxfId="325"/>
    <tableColumn id="8" xr3:uid="{00000000-0010-0000-0800-000008000000}" name="7" totalsRowFunction="count" dataDxfId="324" totalsRowDxfId="323"/>
    <tableColumn id="9" xr3:uid="{00000000-0010-0000-0800-000009000000}" name="8" totalsRowFunction="count" dataDxfId="322" totalsRowDxfId="321"/>
    <tableColumn id="10" xr3:uid="{00000000-0010-0000-0800-00000A000000}" name="9" totalsRowFunction="count" dataDxfId="320" totalsRowDxfId="319"/>
    <tableColumn id="11" xr3:uid="{00000000-0010-0000-0800-00000B000000}" name="10" totalsRowFunction="count" dataDxfId="318" totalsRowDxfId="317"/>
    <tableColumn id="12" xr3:uid="{00000000-0010-0000-0800-00000C000000}" name="11" totalsRowFunction="count" dataDxfId="316" totalsRowDxfId="315"/>
    <tableColumn id="13" xr3:uid="{00000000-0010-0000-0800-00000D000000}" name="12" totalsRowFunction="count" dataDxfId="314" totalsRowDxfId="313"/>
    <tableColumn id="14" xr3:uid="{00000000-0010-0000-0800-00000E000000}" name="13" totalsRowFunction="count" dataDxfId="312" totalsRowDxfId="311"/>
    <tableColumn id="15" xr3:uid="{00000000-0010-0000-0800-00000F000000}" name="14" totalsRowFunction="count" dataDxfId="310" totalsRowDxfId="309"/>
    <tableColumn id="16" xr3:uid="{00000000-0010-0000-0800-000010000000}" name="15" totalsRowFunction="count" dataDxfId="308" totalsRowDxfId="307"/>
    <tableColumn id="17" xr3:uid="{00000000-0010-0000-0800-000011000000}" name="16" totalsRowFunction="count" dataDxfId="306" totalsRowDxfId="305"/>
    <tableColumn id="18" xr3:uid="{00000000-0010-0000-0800-000012000000}" name="17" totalsRowFunction="count" dataDxfId="304" totalsRowDxfId="303"/>
    <tableColumn id="19" xr3:uid="{00000000-0010-0000-0800-000013000000}" name="18" totalsRowFunction="count" dataDxfId="302" totalsRowDxfId="301"/>
    <tableColumn id="20" xr3:uid="{00000000-0010-0000-0800-000014000000}" name="19" totalsRowFunction="count" dataDxfId="300" totalsRowDxfId="299"/>
    <tableColumn id="21" xr3:uid="{00000000-0010-0000-0800-000015000000}" name="20" totalsRowFunction="count" dataDxfId="298" totalsRowDxfId="297"/>
    <tableColumn id="22" xr3:uid="{00000000-0010-0000-0800-000016000000}" name="21" totalsRowFunction="count" dataDxfId="296" totalsRowDxfId="295"/>
    <tableColumn id="23" xr3:uid="{00000000-0010-0000-0800-000017000000}" name="22" totalsRowFunction="count" dataDxfId="294" totalsRowDxfId="293"/>
    <tableColumn id="24" xr3:uid="{00000000-0010-0000-0800-000018000000}" name="23" totalsRowFunction="count" dataDxfId="292" totalsRowDxfId="291"/>
    <tableColumn id="25" xr3:uid="{00000000-0010-0000-0800-000019000000}" name="24" totalsRowFunction="count" dataDxfId="290" totalsRowDxfId="289"/>
    <tableColumn id="26" xr3:uid="{00000000-0010-0000-0800-00001A000000}" name="25" totalsRowFunction="count" dataDxfId="288" totalsRowDxfId="287"/>
    <tableColumn id="27" xr3:uid="{00000000-0010-0000-0800-00001B000000}" name="26" totalsRowFunction="count" dataDxfId="286" totalsRowDxfId="285"/>
    <tableColumn id="28" xr3:uid="{00000000-0010-0000-0800-00001C000000}" name="27" totalsRowFunction="count" dataDxfId="284" totalsRowDxfId="283"/>
    <tableColumn id="29" xr3:uid="{00000000-0010-0000-0800-00001D000000}" name="28" totalsRowFunction="count" dataDxfId="282" totalsRowDxfId="281"/>
    <tableColumn id="30" xr3:uid="{00000000-0010-0000-0800-00001E000000}" name="29" totalsRowFunction="count" dataDxfId="280" totalsRowDxfId="279"/>
    <tableColumn id="31" xr3:uid="{00000000-0010-0000-0800-00001F000000}" name="30" totalsRowFunction="count" dataDxfId="278" totalsRowDxfId="277"/>
    <tableColumn id="33" xr3:uid="{00000000-0010-0000-0800-000021000000}" name="Totaal aantal km" totalsRowFunction="sum" dataDxfId="276" totalsRowDxfId="275" dataCellStyle="Totaal">
      <calculatedColumnFormula>SUM(September[[#This Row],[1]:[30]])</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9000000}" name="Oktober" displayName="Oktober" ref="A5:AJ11" headerRowDxfId="274" dataDxfId="273" totalsRowDxfId="272">
  <sortState xmlns:xlrd2="http://schemas.microsoft.com/office/spreadsheetml/2017/richdata2" ref="A6:AJ11">
    <sortCondition ref="A6:A11"/>
  </sortState>
  <tableColumns count="36">
    <tableColumn id="1" xr3:uid="{00000000-0010-0000-0900-000001000000}" name="Naam van werknemer" totalsRowFunction="custom" dataDxfId="271" totalsRowDxfId="270" dataCellStyle="Werknemer">
      <totalsRowFormula>MonthName&amp;" Totaal"</totalsRowFormula>
    </tableColumn>
    <tableColumn id="34" xr3:uid="{4BE6C01F-7ED5-4B95-AAA7-C78E41128D86}" name="Begin Km maand" dataDxfId="269" totalsRowDxfId="268"/>
    <tableColumn id="36" xr3:uid="{C49EBBC4-92D2-43BD-B1AE-9C5E19492D91}" name="Eind Km maand" dataDxfId="267" totalsRowDxfId="266"/>
    <tableColumn id="37" xr3:uid="{762EB83B-8F94-49A4-A020-3E1D0ECEED4B}" name="Nummerplaat" dataDxfId="265" totalsRowDxfId="264"/>
    <tableColumn id="2" xr3:uid="{00000000-0010-0000-0900-000002000000}" name="1" totalsRowFunction="count" dataDxfId="263" totalsRowDxfId="262"/>
    <tableColumn id="3" xr3:uid="{00000000-0010-0000-0900-000003000000}" name="2" totalsRowFunction="count" dataDxfId="261" totalsRowDxfId="260"/>
    <tableColumn id="4" xr3:uid="{00000000-0010-0000-0900-000004000000}" name="3" totalsRowFunction="count" dataDxfId="259" totalsRowDxfId="258"/>
    <tableColumn id="5" xr3:uid="{00000000-0010-0000-0900-000005000000}" name="4" totalsRowFunction="count" dataDxfId="257" totalsRowDxfId="256"/>
    <tableColumn id="6" xr3:uid="{00000000-0010-0000-0900-000006000000}" name="5" totalsRowFunction="count" dataDxfId="255" totalsRowDxfId="254"/>
    <tableColumn id="7" xr3:uid="{00000000-0010-0000-0900-000007000000}" name="6" totalsRowFunction="count" dataDxfId="253" totalsRowDxfId="252"/>
    <tableColumn id="8" xr3:uid="{00000000-0010-0000-0900-000008000000}" name="7" totalsRowFunction="count" dataDxfId="251" totalsRowDxfId="250"/>
    <tableColumn id="9" xr3:uid="{00000000-0010-0000-0900-000009000000}" name="8" totalsRowFunction="count" dataDxfId="249" totalsRowDxfId="248"/>
    <tableColumn id="10" xr3:uid="{00000000-0010-0000-0900-00000A000000}" name="9" totalsRowFunction="count" dataDxfId="247" totalsRowDxfId="246"/>
    <tableColumn id="11" xr3:uid="{00000000-0010-0000-0900-00000B000000}" name="10" totalsRowFunction="count" dataDxfId="245" totalsRowDxfId="244"/>
    <tableColumn id="12" xr3:uid="{00000000-0010-0000-0900-00000C000000}" name="11" totalsRowFunction="count" dataDxfId="243" totalsRowDxfId="242"/>
    <tableColumn id="13" xr3:uid="{00000000-0010-0000-0900-00000D000000}" name="12" totalsRowFunction="count" dataDxfId="241" totalsRowDxfId="240"/>
    <tableColumn id="14" xr3:uid="{00000000-0010-0000-0900-00000E000000}" name="13" totalsRowFunction="count" dataDxfId="239" totalsRowDxfId="238"/>
    <tableColumn id="15" xr3:uid="{00000000-0010-0000-0900-00000F000000}" name="14" totalsRowFunction="count" dataDxfId="237" totalsRowDxfId="236"/>
    <tableColumn id="16" xr3:uid="{00000000-0010-0000-0900-000010000000}" name="15" totalsRowFunction="count" dataDxfId="235" totalsRowDxfId="234"/>
    <tableColumn id="17" xr3:uid="{00000000-0010-0000-0900-000011000000}" name="16" totalsRowFunction="count" dataDxfId="233" totalsRowDxfId="232"/>
    <tableColumn id="18" xr3:uid="{00000000-0010-0000-0900-000012000000}" name="17" totalsRowFunction="count" dataDxfId="231" totalsRowDxfId="230"/>
    <tableColumn id="19" xr3:uid="{00000000-0010-0000-0900-000013000000}" name="18" totalsRowFunction="count" dataDxfId="229" totalsRowDxfId="228"/>
    <tableColumn id="20" xr3:uid="{00000000-0010-0000-0900-000014000000}" name="19" totalsRowFunction="count" dataDxfId="227" totalsRowDxfId="226"/>
    <tableColumn id="21" xr3:uid="{00000000-0010-0000-0900-000015000000}" name="20" totalsRowFunction="count" dataDxfId="225" totalsRowDxfId="224"/>
    <tableColumn id="22" xr3:uid="{00000000-0010-0000-0900-000016000000}" name="21" totalsRowFunction="count" dataDxfId="223" totalsRowDxfId="222"/>
    <tableColumn id="23" xr3:uid="{00000000-0010-0000-0900-000017000000}" name="22" totalsRowFunction="count" dataDxfId="221" totalsRowDxfId="220"/>
    <tableColumn id="24" xr3:uid="{00000000-0010-0000-0900-000018000000}" name="23" totalsRowFunction="count" dataDxfId="219" totalsRowDxfId="218"/>
    <tableColumn id="25" xr3:uid="{00000000-0010-0000-0900-000019000000}" name="24" totalsRowFunction="count" dataDxfId="217" totalsRowDxfId="216"/>
    <tableColumn id="26" xr3:uid="{00000000-0010-0000-0900-00001A000000}" name="25" totalsRowFunction="count" dataDxfId="215" totalsRowDxfId="214"/>
    <tableColumn id="27" xr3:uid="{00000000-0010-0000-0900-00001B000000}" name="26" totalsRowFunction="count" dataDxfId="213" totalsRowDxfId="212"/>
    <tableColumn id="28" xr3:uid="{00000000-0010-0000-0900-00001C000000}" name="27" totalsRowFunction="count" dataDxfId="211" totalsRowDxfId="210"/>
    <tableColumn id="29" xr3:uid="{00000000-0010-0000-0900-00001D000000}" name="28" totalsRowFunction="count" dataDxfId="209" totalsRowDxfId="208"/>
    <tableColumn id="30" xr3:uid="{00000000-0010-0000-0900-00001E000000}" name="29" totalsRowFunction="count" dataDxfId="207" totalsRowDxfId="206"/>
    <tableColumn id="31" xr3:uid="{00000000-0010-0000-0900-00001F000000}" name="30" totalsRowFunction="count" dataDxfId="205" totalsRowDxfId="204"/>
    <tableColumn id="32" xr3:uid="{00000000-0010-0000-0900-000020000000}" name="31" totalsRowFunction="count" dataDxfId="203" totalsRowDxfId="202"/>
    <tableColumn id="33" xr3:uid="{00000000-0010-0000-0900-000021000000}" name="Totaal aantal km" totalsRowFunction="sum" dataDxfId="201" totalsRowDxfId="200" dataCellStyle="Totaal">
      <calculatedColumnFormula>SUM(Oktober[[#This Row],[1]:[31]])</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November" displayName="November" ref="A5:AI10" headerRowDxfId="199" dataDxfId="198" totalsRowDxfId="197">
  <sortState xmlns:xlrd2="http://schemas.microsoft.com/office/spreadsheetml/2017/richdata2" ref="A6:AI10">
    <sortCondition ref="A6:A10"/>
  </sortState>
  <tableColumns count="35">
    <tableColumn id="1" xr3:uid="{00000000-0010-0000-0A00-000001000000}" name="Naam van werknemer" totalsRowFunction="custom" dataDxfId="196" totalsRowDxfId="195" dataCellStyle="Werknemer">
      <totalsRowFormula>MonthName&amp;" Totaal"</totalsRowFormula>
    </tableColumn>
    <tableColumn id="34" xr3:uid="{3424BD45-303E-4BEB-A8FE-EAA7A0E2AA3A}" name="Begin Km maand" dataDxfId="194" totalsRowDxfId="193"/>
    <tableColumn id="36" xr3:uid="{BF701325-E645-4C71-AE76-D7ED5FAC0779}" name="Eind Km maand" dataDxfId="192" totalsRowDxfId="191"/>
    <tableColumn id="37" xr3:uid="{AC5B2F2C-54C7-48A0-8729-993318DFF99F}" name="Nummerplaat" dataDxfId="190" totalsRowDxfId="189"/>
    <tableColumn id="2" xr3:uid="{00000000-0010-0000-0A00-000002000000}" name="1" totalsRowFunction="count" dataDxfId="188" totalsRowDxfId="187"/>
    <tableColumn id="3" xr3:uid="{00000000-0010-0000-0A00-000003000000}" name="2" totalsRowFunction="count" dataDxfId="186" totalsRowDxfId="185"/>
    <tableColumn id="4" xr3:uid="{00000000-0010-0000-0A00-000004000000}" name="3" totalsRowFunction="count" dataDxfId="184" totalsRowDxfId="183"/>
    <tableColumn id="5" xr3:uid="{00000000-0010-0000-0A00-000005000000}" name="4" totalsRowFunction="count" dataDxfId="182" totalsRowDxfId="181"/>
    <tableColumn id="6" xr3:uid="{00000000-0010-0000-0A00-000006000000}" name="5" totalsRowFunction="count" dataDxfId="180" totalsRowDxfId="179"/>
    <tableColumn id="7" xr3:uid="{00000000-0010-0000-0A00-000007000000}" name="6" totalsRowFunction="count" dataDxfId="178" totalsRowDxfId="177"/>
    <tableColumn id="8" xr3:uid="{00000000-0010-0000-0A00-000008000000}" name="7" totalsRowFunction="count" dataDxfId="176" totalsRowDxfId="175"/>
    <tableColumn id="9" xr3:uid="{00000000-0010-0000-0A00-000009000000}" name="8" totalsRowFunction="count" dataDxfId="174" totalsRowDxfId="173"/>
    <tableColumn id="10" xr3:uid="{00000000-0010-0000-0A00-00000A000000}" name="9" totalsRowFunction="count" dataDxfId="172" totalsRowDxfId="171"/>
    <tableColumn id="11" xr3:uid="{00000000-0010-0000-0A00-00000B000000}" name="10" totalsRowFunction="count" dataDxfId="170" totalsRowDxfId="169"/>
    <tableColumn id="12" xr3:uid="{00000000-0010-0000-0A00-00000C000000}" name="11" totalsRowFunction="count" dataDxfId="168" totalsRowDxfId="167"/>
    <tableColumn id="13" xr3:uid="{00000000-0010-0000-0A00-00000D000000}" name="12" totalsRowFunction="count" dataDxfId="166" totalsRowDxfId="165"/>
    <tableColumn id="14" xr3:uid="{00000000-0010-0000-0A00-00000E000000}" name="13" totalsRowFunction="count" dataDxfId="164" totalsRowDxfId="163"/>
    <tableColumn id="15" xr3:uid="{00000000-0010-0000-0A00-00000F000000}" name="14" totalsRowFunction="count" dataDxfId="162" totalsRowDxfId="161"/>
    <tableColumn id="16" xr3:uid="{00000000-0010-0000-0A00-000010000000}" name="15" totalsRowFunction="count" dataDxfId="160" totalsRowDxfId="159"/>
    <tableColumn id="17" xr3:uid="{00000000-0010-0000-0A00-000011000000}" name="16" totalsRowFunction="count" dataDxfId="158" totalsRowDxfId="157"/>
    <tableColumn id="18" xr3:uid="{00000000-0010-0000-0A00-000012000000}" name="17" totalsRowFunction="count" dataDxfId="156" totalsRowDxfId="155"/>
    <tableColumn id="19" xr3:uid="{00000000-0010-0000-0A00-000013000000}" name="18" totalsRowFunction="count" dataDxfId="154" totalsRowDxfId="153"/>
    <tableColumn id="20" xr3:uid="{00000000-0010-0000-0A00-000014000000}" name="19" totalsRowFunction="count" dataDxfId="152" totalsRowDxfId="151"/>
    <tableColumn id="21" xr3:uid="{00000000-0010-0000-0A00-000015000000}" name="20" totalsRowFunction="count" dataDxfId="150" totalsRowDxfId="149"/>
    <tableColumn id="22" xr3:uid="{00000000-0010-0000-0A00-000016000000}" name="21" totalsRowFunction="count" dataDxfId="148" totalsRowDxfId="147"/>
    <tableColumn id="23" xr3:uid="{00000000-0010-0000-0A00-000017000000}" name="22" totalsRowFunction="count" dataDxfId="146" totalsRowDxfId="145"/>
    <tableColumn id="24" xr3:uid="{00000000-0010-0000-0A00-000018000000}" name="23" totalsRowFunction="count" dataDxfId="144" totalsRowDxfId="143"/>
    <tableColumn id="25" xr3:uid="{00000000-0010-0000-0A00-000019000000}" name="24" totalsRowFunction="count" dataDxfId="142" totalsRowDxfId="141"/>
    <tableColumn id="26" xr3:uid="{00000000-0010-0000-0A00-00001A000000}" name="25" totalsRowFunction="count" dataDxfId="140" totalsRowDxfId="139"/>
    <tableColumn id="27" xr3:uid="{00000000-0010-0000-0A00-00001B000000}" name="26" totalsRowFunction="count" dataDxfId="138" totalsRowDxfId="137"/>
    <tableColumn id="28" xr3:uid="{00000000-0010-0000-0A00-00001C000000}" name="27" totalsRowFunction="count" dataDxfId="136" totalsRowDxfId="135"/>
    <tableColumn id="29" xr3:uid="{00000000-0010-0000-0A00-00001D000000}" name="28" totalsRowFunction="count" dataDxfId="134" totalsRowDxfId="133"/>
    <tableColumn id="30" xr3:uid="{00000000-0010-0000-0A00-00001E000000}" name="29" totalsRowFunction="count" dataDxfId="132" totalsRowDxfId="131"/>
    <tableColumn id="31" xr3:uid="{00000000-0010-0000-0A00-00001F000000}" name="30" totalsRowFunction="count" dataDxfId="130" totalsRowDxfId="129"/>
    <tableColumn id="33" xr3:uid="{00000000-0010-0000-0A00-000021000000}" name="Totaal aantal km" totalsRowFunction="sum" dataDxfId="128" totalsRowDxfId="127" dataCellStyle="Totaal">
      <calculatedColumnFormula>SUM(November[[#This Row],[1]:[30]])</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Geef de namen van werknemers en verzuimdatums op. Registreer het verzuimtype volgens de sleutel in rij 12: V=vakantie, S=ziek, P=persoonlijk en twee tijdelijke aanduidingen voor aangepaste vermeldingen"/>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ecember" displayName="December" ref="A5:AJ10" headerRowDxfId="126" dataDxfId="125" totalsRowDxfId="124">
  <sortState xmlns:xlrd2="http://schemas.microsoft.com/office/spreadsheetml/2017/richdata2" ref="A6:AJ10">
    <sortCondition ref="A6:A10"/>
  </sortState>
  <tableColumns count="36">
    <tableColumn id="1" xr3:uid="{00000000-0010-0000-0B00-000001000000}" name="Naam van werknemer" totalsRowFunction="custom" dataDxfId="123" totalsRowDxfId="122" dataCellStyle="Werknemer">
      <totalsRowFormula>MonthName&amp;" Totaal"</totalsRowFormula>
    </tableColumn>
    <tableColumn id="35" xr3:uid="{09123C3D-5644-40E2-AA0D-919191852E78}" name="Begin Km maand" dataDxfId="121" totalsRowDxfId="120"/>
    <tableColumn id="37" xr3:uid="{AF6C5A70-406B-4F5B-AF14-E1D1EF450AA2}" name="Eind Km maand" dataDxfId="119" totalsRowDxfId="118"/>
    <tableColumn id="36" xr3:uid="{2A935864-71D7-4F21-835B-F1E581E525B2}" name="Nummerplaat" dataDxfId="117" totalsRowDxfId="116"/>
    <tableColumn id="2" xr3:uid="{00000000-0010-0000-0B00-000002000000}" name="1" totalsRowFunction="count" dataDxfId="115" totalsRowDxfId="114"/>
    <tableColumn id="3" xr3:uid="{00000000-0010-0000-0B00-000003000000}" name="2" totalsRowFunction="count" dataDxfId="113" totalsRowDxfId="112"/>
    <tableColumn id="4" xr3:uid="{00000000-0010-0000-0B00-000004000000}" name="3" totalsRowFunction="count" dataDxfId="111" totalsRowDxfId="110"/>
    <tableColumn id="5" xr3:uid="{00000000-0010-0000-0B00-000005000000}" name="4" totalsRowFunction="count" dataDxfId="109" totalsRowDxfId="108"/>
    <tableColumn id="6" xr3:uid="{00000000-0010-0000-0B00-000006000000}" name="5" totalsRowFunction="count" dataDxfId="107" totalsRowDxfId="106"/>
    <tableColumn id="7" xr3:uid="{00000000-0010-0000-0B00-000007000000}" name="6" totalsRowFunction="count" dataDxfId="105" totalsRowDxfId="104"/>
    <tableColumn id="8" xr3:uid="{00000000-0010-0000-0B00-000008000000}" name="7" totalsRowFunction="count" dataDxfId="103" totalsRowDxfId="102"/>
    <tableColumn id="9" xr3:uid="{00000000-0010-0000-0B00-000009000000}" name="8" totalsRowFunction="count" dataDxfId="101" totalsRowDxfId="100"/>
    <tableColumn id="10" xr3:uid="{00000000-0010-0000-0B00-00000A000000}" name="9" totalsRowFunction="count" dataDxfId="99" totalsRowDxfId="98"/>
    <tableColumn id="11" xr3:uid="{00000000-0010-0000-0B00-00000B000000}" name="10" totalsRowFunction="count" dataDxfId="97" totalsRowDxfId="96"/>
    <tableColumn id="12" xr3:uid="{00000000-0010-0000-0B00-00000C000000}" name="11" totalsRowFunction="count" dataDxfId="95" totalsRowDxfId="94"/>
    <tableColumn id="13" xr3:uid="{00000000-0010-0000-0B00-00000D000000}" name="12" totalsRowFunction="count" dataDxfId="93" totalsRowDxfId="92"/>
    <tableColumn id="14" xr3:uid="{00000000-0010-0000-0B00-00000E000000}" name="13" totalsRowFunction="count" dataDxfId="91" totalsRowDxfId="90"/>
    <tableColumn id="15" xr3:uid="{00000000-0010-0000-0B00-00000F000000}" name="14" totalsRowFunction="count" dataDxfId="89" totalsRowDxfId="88"/>
    <tableColumn id="16" xr3:uid="{00000000-0010-0000-0B00-000010000000}" name="15" totalsRowFunction="count" dataDxfId="87" totalsRowDxfId="86"/>
    <tableColumn id="17" xr3:uid="{00000000-0010-0000-0B00-000011000000}" name="16" totalsRowFunction="count" dataDxfId="85" totalsRowDxfId="84"/>
    <tableColumn id="18" xr3:uid="{00000000-0010-0000-0B00-000012000000}" name="17" totalsRowFunction="count" dataDxfId="83" totalsRowDxfId="82"/>
    <tableColumn id="19" xr3:uid="{00000000-0010-0000-0B00-000013000000}" name="18" totalsRowFunction="count" dataDxfId="81" totalsRowDxfId="80"/>
    <tableColumn id="20" xr3:uid="{00000000-0010-0000-0B00-000014000000}" name="19" totalsRowFunction="count" dataDxfId="79" totalsRowDxfId="78"/>
    <tableColumn id="21" xr3:uid="{00000000-0010-0000-0B00-000015000000}" name="20" totalsRowFunction="count" dataDxfId="77" totalsRowDxfId="76"/>
    <tableColumn id="22" xr3:uid="{00000000-0010-0000-0B00-000016000000}" name="21" totalsRowFunction="count" dataDxfId="75" totalsRowDxfId="74"/>
    <tableColumn id="23" xr3:uid="{00000000-0010-0000-0B00-000017000000}" name="22" totalsRowFunction="count" dataDxfId="73" totalsRowDxfId="72"/>
    <tableColumn id="24" xr3:uid="{00000000-0010-0000-0B00-000018000000}" name="23" totalsRowFunction="count" dataDxfId="71" totalsRowDxfId="70"/>
    <tableColumn id="25" xr3:uid="{00000000-0010-0000-0B00-000019000000}" name="24" totalsRowFunction="count" dataDxfId="69" totalsRowDxfId="68"/>
    <tableColumn id="26" xr3:uid="{00000000-0010-0000-0B00-00001A000000}" name="25" totalsRowFunction="count" dataDxfId="67" totalsRowDxfId="66"/>
    <tableColumn id="27" xr3:uid="{00000000-0010-0000-0B00-00001B000000}" name="26" totalsRowFunction="count" dataDxfId="65" totalsRowDxfId="64"/>
    <tableColumn id="28" xr3:uid="{00000000-0010-0000-0B00-00001C000000}" name="27" totalsRowFunction="count" dataDxfId="63" totalsRowDxfId="62"/>
    <tableColumn id="29" xr3:uid="{00000000-0010-0000-0B00-00001D000000}" name="28" totalsRowFunction="count" dataDxfId="61" totalsRowDxfId="60"/>
    <tableColumn id="30" xr3:uid="{00000000-0010-0000-0B00-00001E000000}" name="29" totalsRowFunction="count" dataDxfId="59" totalsRowDxfId="58"/>
    <tableColumn id="31" xr3:uid="{00000000-0010-0000-0B00-00001F000000}" name="30" totalsRowFunction="count" dataDxfId="57" totalsRowDxfId="56"/>
    <tableColumn id="32" xr3:uid="{00000000-0010-0000-0B00-000020000000}" name="31" totalsRowFunction="count" dataDxfId="55" totalsRowDxfId="54"/>
    <tableColumn id="33" xr3:uid="{00000000-0010-0000-0B00-000021000000}" name="Totaal aantal km" totalsRowFunction="sum" dataDxfId="53" totalsRowDxfId="52" dataCellStyle="Totaal">
      <calculatedColumnFormula>SUM(December[[#This Row],[1]:[31]])</calculatedColumnFormula>
    </tableColumn>
  </tableColumns>
  <tableStyleInfo name="Werknemers Verzuimtabel" showFirstColumn="1" showLastColumn="1" showRowStripes="1" showColumnStripes="0"/>
  <extLst>
    <ext xmlns:x14="http://schemas.microsoft.com/office/spreadsheetml/2009/9/main" uri="{504A1905-F514-4f6f-8877-14C23A59335A}">
      <x14:table altTextSummary="Biedt een lijst met namen en kalenderdatums om de afwezigheid van werknemers en specifiek afwezigheidstype vast te leggen, zoals V=vakantie, Z=ziek, P=persoonlijk en twee tijdelijke aanduidingen voor aangepaste vermeldingen"/>
    </ext>
  </extLst>
</table>
</file>

<file path=xl/theme/theme1.xml><?xml version="1.0" encoding="utf-8"?>
<a:theme xmlns:a="http://schemas.openxmlformats.org/drawingml/2006/main" name="Office Theme">
  <a:themeElements>
    <a:clrScheme name="Employee Absense Schedule">
      <a:dk1>
        <a:sysClr val="windowText" lastClr="000000"/>
      </a:dk1>
      <a:lt1>
        <a:sysClr val="window" lastClr="FFFFFF"/>
      </a:lt1>
      <a:dk2>
        <a:srgbClr val="4B180E"/>
      </a:dk2>
      <a:lt2>
        <a:srgbClr val="F1F2E8"/>
      </a:lt2>
      <a:accent1>
        <a:srgbClr val="A53423"/>
      </a:accent1>
      <a:accent2>
        <a:srgbClr val="E68130"/>
      </a:accent2>
      <a:accent3>
        <a:srgbClr val="9BB05D"/>
      </a:accent3>
      <a:accent4>
        <a:srgbClr val="CC9900"/>
      </a:accent4>
      <a:accent5>
        <a:srgbClr val="4F66AF"/>
      </a:accent5>
      <a:accent6>
        <a:srgbClr val="D0D2D3"/>
      </a:accent6>
      <a:hlink>
        <a:srgbClr val="4F66AF"/>
      </a:hlink>
      <a:folHlink>
        <a:srgbClr val="6B9AC6"/>
      </a:folHlink>
    </a:clrScheme>
    <a:fontScheme name="Employee Absence Schedule">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tabColor theme="2" tint="-0.89999084444715716"/>
    <pageSetUpPr fitToPage="1"/>
  </sheetPr>
  <dimension ref="A1:AM11"/>
  <sheetViews>
    <sheetView showGridLines="0" topLeftCell="B1" zoomScaleNormal="100" workbookViewId="0">
      <selection activeCell="B7" sqref="A7:XFD7"/>
    </sheetView>
  </sheetViews>
  <sheetFormatPr defaultRowHeight="30" customHeight="1" x14ac:dyDescent="0.25"/>
  <cols>
    <col min="1" max="1" width="2.7109375" customWidth="1"/>
    <col min="2" max="2" width="20.28515625" customWidth="1"/>
    <col min="3" max="3" width="15.85546875" style="1" bestFit="1" customWidth="1"/>
    <col min="4" max="4" width="14.7109375" style="18" bestFit="1" customWidth="1"/>
    <col min="5" max="5" width="13.42578125" style="1" bestFit="1" customWidth="1"/>
    <col min="6" max="36" width="4.28515625" style="1" customWidth="1"/>
    <col min="37" max="37" width="15.28515625" style="1" customWidth="1"/>
    <col min="38" max="38" width="14.85546875" style="1" bestFit="1" customWidth="1"/>
    <col min="39" max="39" width="16.7109375" customWidth="1"/>
  </cols>
  <sheetData>
    <row r="1" spans="1:39" ht="50.1" customHeight="1" x14ac:dyDescent="0.25">
      <c r="A1" s="7"/>
      <c r="B1" s="4" t="s">
        <v>60</v>
      </c>
    </row>
    <row r="2" spans="1:39" ht="15" customHeight="1" x14ac:dyDescent="0.25"/>
    <row r="3" spans="1:39" ht="15" customHeight="1" x14ac:dyDescent="0.25"/>
    <row r="4" spans="1:39" ht="30" customHeight="1" x14ac:dyDescent="0.25">
      <c r="B4" s="3" t="s">
        <v>0</v>
      </c>
      <c r="C4" s="3"/>
      <c r="D4" s="19"/>
      <c r="E4" s="3"/>
      <c r="F4" s="27" t="s">
        <v>1</v>
      </c>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3">
        <v>2025</v>
      </c>
      <c r="AL4" s="11" t="s">
        <v>2</v>
      </c>
      <c r="AM4" s="3"/>
    </row>
    <row r="5" spans="1:39" ht="15" customHeight="1" x14ac:dyDescent="0.25">
      <c r="B5" s="3"/>
      <c r="C5" s="3"/>
      <c r="D5" s="19"/>
      <c r="E5" s="3"/>
      <c r="F5" s="1" t="str">
        <f>TEXT(WEEKDAY(DATE(CalendarYear,1,1),1),"aaa")</f>
        <v>wo</v>
      </c>
      <c r="G5" s="1" t="str">
        <f>TEXT(WEEKDAY(DATE(CalendarYear,1,2),1),"aaa")</f>
        <v>do</v>
      </c>
      <c r="H5" s="1" t="str">
        <f>TEXT(WEEKDAY(DATE(CalendarYear,1,3),1),"aaa")</f>
        <v>vr</v>
      </c>
      <c r="I5" s="1" t="str">
        <f>TEXT(WEEKDAY(DATE(CalendarYear,1,4),1),"aaa")</f>
        <v>za</v>
      </c>
      <c r="J5" s="1" t="str">
        <f>TEXT(WEEKDAY(DATE(CalendarYear,1,5),1),"aaa")</f>
        <v>zo</v>
      </c>
      <c r="K5" s="1" t="str">
        <f>TEXT(WEEKDAY(DATE(CalendarYear,1,6),1),"aaa")</f>
        <v>ma</v>
      </c>
      <c r="L5" s="1" t="str">
        <f>TEXT(WEEKDAY(DATE(CalendarYear,1,7),1),"aaa")</f>
        <v>di</v>
      </c>
      <c r="M5" s="1" t="str">
        <f>TEXT(WEEKDAY(DATE(CalendarYear,1,8),1),"aaa")</f>
        <v>wo</v>
      </c>
      <c r="N5" s="1" t="str">
        <f>TEXT(WEEKDAY(DATE(CalendarYear,1,9),1),"aaa")</f>
        <v>do</v>
      </c>
      <c r="O5" s="1" t="str">
        <f>TEXT(WEEKDAY(DATE(CalendarYear,1,10),1),"aaa")</f>
        <v>vr</v>
      </c>
      <c r="P5" s="1" t="str">
        <f>TEXT(WEEKDAY(DATE(CalendarYear,1,11),1),"aaa")</f>
        <v>za</v>
      </c>
      <c r="Q5" s="1" t="str">
        <f>TEXT(WEEKDAY(DATE(CalendarYear,1,12),1),"aaa")</f>
        <v>zo</v>
      </c>
      <c r="R5" s="1" t="str">
        <f>TEXT(WEEKDAY(DATE(CalendarYear,1,13),1),"aaa")</f>
        <v>ma</v>
      </c>
      <c r="S5" s="1" t="str">
        <f>TEXT(WEEKDAY(DATE(CalendarYear,1,14),1),"aaa")</f>
        <v>di</v>
      </c>
      <c r="T5" s="1" t="str">
        <f>TEXT(WEEKDAY(DATE(CalendarYear,1,15),1),"aaa")</f>
        <v>wo</v>
      </c>
      <c r="U5" s="1" t="str">
        <f>TEXT(WEEKDAY(DATE(CalendarYear,1,16),1),"aaa")</f>
        <v>do</v>
      </c>
      <c r="V5" s="1" t="str">
        <f>TEXT(WEEKDAY(DATE(CalendarYear,1,17),1),"aaa")</f>
        <v>vr</v>
      </c>
      <c r="W5" s="1" t="str">
        <f>TEXT(WEEKDAY(DATE(CalendarYear,1,18),1),"aaa")</f>
        <v>za</v>
      </c>
      <c r="X5" s="1" t="str">
        <f>TEXT(WEEKDAY(DATE(CalendarYear,1,19),1),"aaa")</f>
        <v>zo</v>
      </c>
      <c r="Y5" s="1" t="str">
        <f>TEXT(WEEKDAY(DATE(CalendarYear,1,20),1),"aaa")</f>
        <v>ma</v>
      </c>
      <c r="Z5" s="1" t="str">
        <f>TEXT(WEEKDAY(DATE(CalendarYear,1,21),1),"aaa")</f>
        <v>di</v>
      </c>
      <c r="AA5" s="1" t="str">
        <f>TEXT(WEEKDAY(DATE(CalendarYear,1,22),1),"aaa")</f>
        <v>wo</v>
      </c>
      <c r="AB5" s="1" t="str">
        <f>TEXT(WEEKDAY(DATE(CalendarYear,1,23),1),"aaa")</f>
        <v>do</v>
      </c>
      <c r="AC5" s="1" t="str">
        <f>TEXT(WEEKDAY(DATE(CalendarYear,1,24),1),"aaa")</f>
        <v>vr</v>
      </c>
      <c r="AD5" s="1" t="str">
        <f>TEXT(WEEKDAY(DATE(CalendarYear,1,25),1),"aaa")</f>
        <v>za</v>
      </c>
      <c r="AE5" s="1" t="str">
        <f>TEXT(WEEKDAY(DATE(CalendarYear,1,26),1),"aaa")</f>
        <v>zo</v>
      </c>
      <c r="AF5" s="1" t="str">
        <f>TEXT(WEEKDAY(DATE(CalendarYear,1,27),1),"aaa")</f>
        <v>ma</v>
      </c>
      <c r="AG5" s="1" t="str">
        <f>TEXT(WEEKDAY(DATE(CalendarYear,1,28),1),"aaa")</f>
        <v>di</v>
      </c>
      <c r="AH5" s="1" t="str">
        <f>TEXT(WEEKDAY(DATE(CalendarYear,1,29),1),"aaa")</f>
        <v>wo</v>
      </c>
      <c r="AI5" s="1" t="str">
        <f>TEXT(WEEKDAY(DATE(CalendarYear,1,30),1),"aaa")</f>
        <v>do</v>
      </c>
      <c r="AJ5" s="1" t="str">
        <f>TEXT(WEEKDAY(DATE(CalendarYear,1,31),1),"aaa")</f>
        <v>vr</v>
      </c>
      <c r="AM5" s="3"/>
    </row>
    <row r="6" spans="1:39" ht="15" customHeight="1" thickBot="1" x14ac:dyDescent="0.3">
      <c r="B6" t="s">
        <v>58</v>
      </c>
      <c r="C6" s="1" t="s">
        <v>4</v>
      </c>
      <c r="D6" s="18" t="s">
        <v>5</v>
      </c>
      <c r="E6" s="1" t="s">
        <v>6</v>
      </c>
      <c r="F6" s="1" t="s">
        <v>7</v>
      </c>
      <c r="G6" s="1" t="s">
        <v>8</v>
      </c>
      <c r="H6" s="1" t="s">
        <v>9</v>
      </c>
      <c r="I6" s="1" t="s">
        <v>10</v>
      </c>
      <c r="J6" s="1" t="s">
        <v>11</v>
      </c>
      <c r="K6" s="1" t="s">
        <v>12</v>
      </c>
      <c r="L6" s="1" t="s">
        <v>13</v>
      </c>
      <c r="M6" s="1" t="s">
        <v>14</v>
      </c>
      <c r="N6" s="1" t="s">
        <v>15</v>
      </c>
      <c r="O6" s="1" t="s">
        <v>16</v>
      </c>
      <c r="P6" s="1" t="s">
        <v>17</v>
      </c>
      <c r="Q6" s="1" t="s">
        <v>18</v>
      </c>
      <c r="R6" s="1" t="s">
        <v>19</v>
      </c>
      <c r="S6" s="1" t="s">
        <v>20</v>
      </c>
      <c r="T6" s="1" t="s">
        <v>21</v>
      </c>
      <c r="U6" s="1" t="s">
        <v>22</v>
      </c>
      <c r="V6" s="1" t="s">
        <v>23</v>
      </c>
      <c r="W6" s="1" t="s">
        <v>24</v>
      </c>
      <c r="X6" s="1" t="s">
        <v>25</v>
      </c>
      <c r="Y6" s="1" t="s">
        <v>26</v>
      </c>
      <c r="Z6" s="1" t="s">
        <v>27</v>
      </c>
      <c r="AA6" s="1" t="s">
        <v>28</v>
      </c>
      <c r="AB6" s="1" t="s">
        <v>29</v>
      </c>
      <c r="AC6" s="1" t="s">
        <v>30</v>
      </c>
      <c r="AD6" s="1" t="s">
        <v>31</v>
      </c>
      <c r="AE6" s="1" t="s">
        <v>32</v>
      </c>
      <c r="AF6" s="1" t="s">
        <v>33</v>
      </c>
      <c r="AG6" s="1" t="s">
        <v>34</v>
      </c>
      <c r="AH6" s="1" t="s">
        <v>35</v>
      </c>
      <c r="AI6" s="1" t="s">
        <v>36</v>
      </c>
      <c r="AJ6" s="1" t="s">
        <v>37</v>
      </c>
      <c r="AK6" s="1" t="s">
        <v>38</v>
      </c>
      <c r="AL6" s="11" t="s">
        <v>56</v>
      </c>
      <c r="AM6" s="9" t="s">
        <v>39</v>
      </c>
    </row>
    <row r="7" spans="1:39" ht="30" customHeight="1" thickBot="1" x14ac:dyDescent="0.3">
      <c r="B7" t="s">
        <v>42</v>
      </c>
      <c r="C7" s="1">
        <v>127115</v>
      </c>
      <c r="D7" s="1">
        <v>128014</v>
      </c>
      <c r="E7" s="1" t="s">
        <v>63</v>
      </c>
      <c r="F7" s="1">
        <v>102</v>
      </c>
      <c r="G7" s="1">
        <v>107</v>
      </c>
      <c r="H7" s="1">
        <v>89</v>
      </c>
      <c r="I7" s="1">
        <v>92</v>
      </c>
      <c r="J7" s="1">
        <v>98</v>
      </c>
      <c r="P7" s="1">
        <v>91</v>
      </c>
      <c r="Q7" s="1">
        <v>98</v>
      </c>
      <c r="T7" s="1">
        <v>97</v>
      </c>
      <c r="U7" s="1">
        <v>107</v>
      </c>
      <c r="V7" s="1">
        <v>96</v>
      </c>
      <c r="W7" s="1">
        <v>103</v>
      </c>
      <c r="X7" s="1">
        <v>108</v>
      </c>
      <c r="AD7" s="1">
        <v>78</v>
      </c>
      <c r="AE7" s="1">
        <v>88</v>
      </c>
      <c r="AH7" s="1">
        <v>112</v>
      </c>
      <c r="AI7" s="1">
        <v>116</v>
      </c>
      <c r="AK7" s="1">
        <f t="shared" ref="AK7:AK10" si="0">SUM(F7:AJ7)</f>
        <v>1582</v>
      </c>
      <c r="AL7" s="1">
        <f>Januari[[#This Row],[Totaal aantal km]]*0.4</f>
        <v>632.80000000000007</v>
      </c>
      <c r="AM7" s="20"/>
    </row>
    <row r="8" spans="1:39" ht="30" customHeight="1" thickBot="1" x14ac:dyDescent="0.3">
      <c r="B8" t="s">
        <v>41</v>
      </c>
      <c r="C8" s="1">
        <v>280150</v>
      </c>
      <c r="D8" s="1">
        <v>281241</v>
      </c>
      <c r="E8" s="1" t="s">
        <v>66</v>
      </c>
      <c r="F8" s="1">
        <v>86</v>
      </c>
      <c r="H8" s="1">
        <v>95</v>
      </c>
      <c r="I8" s="1">
        <v>91</v>
      </c>
      <c r="J8" s="1">
        <v>89</v>
      </c>
      <c r="O8" s="1">
        <v>92</v>
      </c>
      <c r="P8" s="1">
        <v>95</v>
      </c>
      <c r="Q8" s="1">
        <v>87</v>
      </c>
      <c r="S8" s="1">
        <v>98</v>
      </c>
      <c r="T8" s="1">
        <v>104</v>
      </c>
      <c r="V8" s="1">
        <v>110</v>
      </c>
      <c r="W8" s="1">
        <v>112</v>
      </c>
      <c r="X8" s="1">
        <v>116</v>
      </c>
      <c r="AK8" s="23">
        <f t="shared" si="0"/>
        <v>1175</v>
      </c>
      <c r="AL8" s="1">
        <f>Januari[[#This Row],[Totaal aantal km]]*0.4</f>
        <v>470</v>
      </c>
      <c r="AM8" s="20"/>
    </row>
    <row r="9" spans="1:39" ht="30" customHeight="1" thickBot="1" x14ac:dyDescent="0.3">
      <c r="B9" t="s">
        <v>64</v>
      </c>
      <c r="C9" s="1">
        <v>159250</v>
      </c>
      <c r="D9" s="1">
        <v>160056</v>
      </c>
      <c r="E9" s="1" t="s">
        <v>65</v>
      </c>
      <c r="F9" s="1">
        <v>87</v>
      </c>
      <c r="I9" s="1">
        <v>106</v>
      </c>
      <c r="J9" s="1">
        <v>102</v>
      </c>
      <c r="O9" s="1">
        <v>97</v>
      </c>
      <c r="P9" s="1">
        <v>105</v>
      </c>
      <c r="Q9" s="1">
        <v>93</v>
      </c>
      <c r="W9" s="1">
        <v>97</v>
      </c>
      <c r="X9" s="1">
        <v>97</v>
      </c>
      <c r="AC9" s="1">
        <v>98</v>
      </c>
      <c r="AD9" s="1">
        <v>105</v>
      </c>
      <c r="AE9" s="1">
        <v>98</v>
      </c>
      <c r="AK9" s="1">
        <f t="shared" si="0"/>
        <v>1085</v>
      </c>
      <c r="AL9" s="1">
        <f>Januari[[#This Row],[Totaal aantal km]]*0.4</f>
        <v>434</v>
      </c>
      <c r="AM9" s="20"/>
    </row>
    <row r="10" spans="1:39" ht="30" customHeight="1" thickBot="1" x14ac:dyDescent="0.3">
      <c r="B10" t="s">
        <v>67</v>
      </c>
      <c r="D10" s="1"/>
      <c r="F10" s="1">
        <v>98</v>
      </c>
      <c r="G10" s="1">
        <v>112</v>
      </c>
      <c r="H10" s="1">
        <v>88</v>
      </c>
      <c r="I10" s="1">
        <v>98</v>
      </c>
      <c r="J10" s="1">
        <v>85</v>
      </c>
      <c r="L10" s="1">
        <v>89</v>
      </c>
      <c r="M10" s="1">
        <v>96</v>
      </c>
      <c r="N10" s="1">
        <v>103</v>
      </c>
      <c r="O10" s="1">
        <v>88</v>
      </c>
      <c r="P10" s="1">
        <v>99</v>
      </c>
      <c r="Q10" s="1">
        <v>102</v>
      </c>
      <c r="S10" s="1">
        <v>107</v>
      </c>
      <c r="T10" s="1">
        <v>112</v>
      </c>
      <c r="U10" s="1">
        <v>104</v>
      </c>
      <c r="V10" s="1">
        <v>107</v>
      </c>
      <c r="W10" s="1">
        <v>109</v>
      </c>
      <c r="X10" s="1">
        <v>106</v>
      </c>
      <c r="Z10" s="1">
        <v>103</v>
      </c>
      <c r="AA10" s="1">
        <v>109</v>
      </c>
      <c r="AB10" s="1">
        <v>103</v>
      </c>
      <c r="AC10" s="1">
        <v>112</v>
      </c>
      <c r="AD10" s="1">
        <v>87</v>
      </c>
      <c r="AE10" s="1">
        <v>96</v>
      </c>
      <c r="AG10" s="1">
        <v>95</v>
      </c>
      <c r="AH10" s="1">
        <v>104</v>
      </c>
      <c r="AI10" s="1">
        <v>111</v>
      </c>
      <c r="AJ10" s="1">
        <v>102</v>
      </c>
      <c r="AK10" s="1">
        <f t="shared" si="0"/>
        <v>2725</v>
      </c>
      <c r="AL10" s="1">
        <f>Januari[[#This Row],[Totaal aantal km]]*0.4</f>
        <v>1090</v>
      </c>
      <c r="AM10" s="20"/>
    </row>
    <row r="11" spans="1:39" ht="30" customHeight="1" thickBot="1" x14ac:dyDescent="0.3">
      <c r="AK11" s="15" t="s">
        <v>57</v>
      </c>
      <c r="AL11" s="1">
        <f>SUM(AL7:AL10)</f>
        <v>2626.8</v>
      </c>
      <c r="AM11" s="20"/>
    </row>
  </sheetData>
  <mergeCells count="1">
    <mergeCell ref="F4:AJ4"/>
  </mergeCells>
  <phoneticPr fontId="18" type="noConversion"/>
  <dataValidations count="10">
    <dataValidation allowBlank="1" showInputMessage="1" showErrorMessage="1" prompt="De dagen van de maand in deze rij worden automatisch gegenereerd. Voer voor elke dag van de maand in elke kolom het verzuim en het type verzuim van een werknemer in. Leeg betekent geen verzuim" sqref="F6" xr:uid="{00000000-0002-0000-0000-000002000000}"/>
    <dataValidation allowBlank="1" showInputMessage="1" showErrorMessage="1" prompt="Weekdagen in deze rij worden automatisch bijgewerkt voor de maand, overeenkomstig het jaar dat is ingevoerd in AH4. Elke dag van de maand is een kolom om het verzuim en type verzuim van een werknemer te noteren" sqref="F5" xr:uid="{00000000-0002-0000-0000-000003000000}"/>
    <dataValidation allowBlank="1" showInputMessage="1" showErrorMessage="1" prompt="Berekent automatisch het totaal aantal dagen dat een werknemer in deze maand niet afwezig was" sqref="AK6" xr:uid="{00000000-0002-0000-0000-000004000000}"/>
    <dataValidation allowBlank="1" showInputMessage="1" showErrorMessage="1" prompt="De Werknemers Verzuimtabel houdt het verzuim van werknemers per dag bij voor elke maand. Er zijn 13 werkbladen, met een maandelijkse en laatste voor namen van werknemers. Het verzuim van januari in dit werkblad volgen" sqref="A1" xr:uid="{00000000-0002-0000-0000-00000D000000}"/>
    <dataValidation allowBlank="1" showInputMessage="1" showErrorMessage="1" prompt="Jaar invoeren in de cel eronder" sqref="AK3" xr:uid="{00000000-0002-0000-0000-00000E000000}"/>
    <dataValidation allowBlank="1" showInputMessage="1" showErrorMessage="1" prompt="Automatisch bijgewerkt jaar op basis van het jaar dat in het werkblad januari is ingevoerd" sqref="AK4" xr:uid="{557CA75F-766E-4CAC-8A6E-940B5CE053F3}"/>
    <dataValidation allowBlank="1" showInputMessage="1" showErrorMessage="1" prompt="De titel wordt automatisch bijgewerkt in deze cel. Als u de titel wilt wijzigen, werk B1 in het januari-werkblad bij" sqref="B1" xr:uid="{A6DB5003-295F-4171-AC10-7DC8B77D1931}"/>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B6:E6 AM6" xr:uid="{00000000-0002-0000-0000-000001000000}"/>
    <dataValidation allowBlank="1" showInputMessage="1" showErrorMessage="1" prompt="De titel van het werkblad bevindt zich in deze cel. Werk de titel bij en de wijzigingen worden automatisch overgenomen door elk werkblad" sqref="C1:E1 AM1" xr:uid="{00000000-0002-0000-0000-000005000000}"/>
    <dataValidation allowBlank="1" showInputMessage="1" showErrorMessage="1" prompt="De naam van de maand voor dit verzuimschema bevindt zich in deze cel. De absentietotalen voor deze maand staan in de laatste cel van de tabel. Namen van werknemers selecteren in tabelkolom B" sqref="B4:E5 AM4:AM5" xr:uid="{9D18653D-0727-4EEC-A8CA-06F2403BF584}"/>
  </dataValidations>
  <printOptions horizontalCentered="1"/>
  <pageMargins left="0.25" right="0.25" top="0.75" bottom="0.75" header="0.3" footer="0.3"/>
  <pageSetup paperSize="9" scale="57" fitToHeight="0" orientation="landscape"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tabColor theme="2" tint="-0.749992370372631"/>
    <pageSetUpPr fitToPage="1"/>
  </sheetPr>
  <dimension ref="A1:AL12"/>
  <sheetViews>
    <sheetView showGridLines="0" zoomScaleNormal="100" workbookViewId="0">
      <selection activeCell="C8" sqref="C8"/>
    </sheetView>
  </sheetViews>
  <sheetFormatPr defaultColWidth="9.140625" defaultRowHeight="30" customHeight="1" x14ac:dyDescent="0.25"/>
  <cols>
    <col min="1" max="1" width="21.5703125" customWidth="1"/>
    <col min="2" max="2" width="15.85546875" style="1" bestFit="1" customWidth="1"/>
    <col min="3" max="3" width="14.7109375" style="1" bestFit="1" customWidth="1"/>
    <col min="4" max="4" width="13.42578125" style="1" bestFit="1" customWidth="1"/>
    <col min="5" max="35" width="4.28515625" customWidth="1"/>
    <col min="36" max="36" width="15.5703125" bestFit="1" customWidth="1"/>
    <col min="37" max="37" width="14.85546875" bestFit="1" customWidth="1"/>
    <col min="38" max="38" width="16.7109375" bestFit="1" customWidth="1"/>
  </cols>
  <sheetData>
    <row r="1" spans="1:38" ht="50.1" customHeight="1" x14ac:dyDescent="0.25">
      <c r="A1" s="4" t="str">
        <f>Employee_Absence_Title</f>
        <v>Kilometer werknemers</v>
      </c>
      <c r="B1" s="17"/>
      <c r="C1" s="17"/>
      <c r="D1" s="17"/>
      <c r="AK1" s="1"/>
    </row>
    <row r="2" spans="1:38" ht="15" customHeight="1" x14ac:dyDescent="0.25">
      <c r="AK2" s="1"/>
    </row>
    <row r="3" spans="1:38" ht="15" customHeight="1" x14ac:dyDescent="0.25">
      <c r="AK3" s="1"/>
    </row>
    <row r="4" spans="1:38" ht="30" customHeight="1" x14ac:dyDescent="0.25">
      <c r="A4" s="3" t="s">
        <v>44</v>
      </c>
      <c r="B4" s="3"/>
      <c r="C4" s="3"/>
      <c r="D4" s="3"/>
      <c r="E4" s="27" t="s">
        <v>1</v>
      </c>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3">
        <f>CalendarYear</f>
        <v>2025</v>
      </c>
      <c r="AK4" s="11" t="s">
        <v>2</v>
      </c>
      <c r="AL4" s="3"/>
    </row>
    <row r="5" spans="1:38" ht="15" customHeight="1" x14ac:dyDescent="0.25">
      <c r="A5" s="3"/>
      <c r="B5" s="3"/>
      <c r="C5" s="3"/>
      <c r="D5" s="3"/>
      <c r="E5" s="1" t="str">
        <f>TEXT(WEEKDAY(DATE(CalendarYear,2,1),1),"aaa")</f>
        <v>za</v>
      </c>
      <c r="F5" s="1" t="str">
        <f>TEXT(WEEKDAY(DATE(CalendarYear,1,5),1),"aaa")</f>
        <v>zo</v>
      </c>
      <c r="G5" s="1" t="str">
        <f>TEXT(WEEKDAY(DATE(CalendarYear,1,6),1),"aaa")</f>
        <v>ma</v>
      </c>
      <c r="H5" s="1" t="str">
        <f>TEXT(WEEKDAY(DATE(CalendarYear,1,7),1),"aaa")</f>
        <v>di</v>
      </c>
      <c r="I5" s="1" t="str">
        <f>TEXT(WEEKDAY(DATE(CalendarYear,1,8),1),"aaa")</f>
        <v>wo</v>
      </c>
      <c r="J5" s="1" t="str">
        <f>TEXT(WEEKDAY(DATE(CalendarYear,1,9),1),"aaa")</f>
        <v>do</v>
      </c>
      <c r="K5" s="1" t="str">
        <f>TEXT(WEEKDAY(DATE(CalendarYear,1,10),1),"aaa")</f>
        <v>vr</v>
      </c>
      <c r="L5" s="1" t="str">
        <f>TEXT(WEEKDAY(DATE(CalendarYear,1,11),1),"aaa")</f>
        <v>za</v>
      </c>
      <c r="M5" s="1" t="str">
        <f>TEXT(WEEKDAY(DATE(CalendarYear,1,12),1),"aaa")</f>
        <v>zo</v>
      </c>
      <c r="N5" s="1" t="str">
        <f>TEXT(WEEKDAY(DATE(CalendarYear,1,13),1),"aaa")</f>
        <v>ma</v>
      </c>
      <c r="O5" s="1" t="str">
        <f>TEXT(WEEKDAY(DATE(CalendarYear,1,14),1),"aaa")</f>
        <v>di</v>
      </c>
      <c r="P5" s="1" t="str">
        <f>TEXT(WEEKDAY(DATE(CalendarYear,1,15),1),"aaa")</f>
        <v>wo</v>
      </c>
      <c r="Q5" s="1" t="str">
        <f>TEXT(WEEKDAY(DATE(CalendarYear,1,16),1),"aaa")</f>
        <v>do</v>
      </c>
      <c r="R5" s="1" t="str">
        <f>TEXT(WEEKDAY(DATE(CalendarYear,1,17),1),"aaa")</f>
        <v>vr</v>
      </c>
      <c r="S5" s="1" t="str">
        <f>TEXT(WEEKDAY(DATE(CalendarYear,1,18),1),"aaa")</f>
        <v>za</v>
      </c>
      <c r="T5" s="1" t="str">
        <f>TEXT(WEEKDAY(DATE(CalendarYear,1,19),1),"aaa")</f>
        <v>zo</v>
      </c>
      <c r="U5" s="1" t="str">
        <f>TEXT(WEEKDAY(DATE(CalendarYear,1,20),1),"aaa")</f>
        <v>ma</v>
      </c>
      <c r="V5" s="1" t="str">
        <f>TEXT(WEEKDAY(DATE(CalendarYear,1,21),1),"aaa")</f>
        <v>di</v>
      </c>
      <c r="W5" s="1" t="str">
        <f>TEXT(WEEKDAY(DATE(CalendarYear,1,22),1),"aaa")</f>
        <v>wo</v>
      </c>
      <c r="X5" s="1" t="str">
        <f>TEXT(WEEKDAY(DATE(CalendarYear,1,23),1),"aaa")</f>
        <v>do</v>
      </c>
      <c r="Y5" s="1" t="str">
        <f>TEXT(WEEKDAY(DATE(CalendarYear,1,24),1),"aaa")</f>
        <v>vr</v>
      </c>
      <c r="Z5" s="1" t="str">
        <f>TEXT(WEEKDAY(DATE(CalendarYear,1,25),1),"aaa")</f>
        <v>za</v>
      </c>
      <c r="AA5" s="1" t="str">
        <f>TEXT(WEEKDAY(DATE(CalendarYear,1,26),1),"aaa")</f>
        <v>zo</v>
      </c>
      <c r="AB5" s="1" t="str">
        <f>TEXT(WEEKDAY(DATE(CalendarYear,1,27),1),"aaa")</f>
        <v>ma</v>
      </c>
      <c r="AC5" s="1" t="str">
        <f>TEXT(WEEKDAY(DATE(CalendarYear,1,28),1),"aaa")</f>
        <v>di</v>
      </c>
      <c r="AD5" s="1" t="str">
        <f>TEXT(WEEKDAY(DATE(CalendarYear,1,29),1),"aaa")</f>
        <v>wo</v>
      </c>
      <c r="AE5" s="1" t="str">
        <f>TEXT(WEEKDAY(DATE(CalendarYear,1,30),1),"aaa")</f>
        <v>do</v>
      </c>
      <c r="AF5" s="1" t="str">
        <f>TEXT(WEEKDAY(DATE(CalendarYear,1,31),1),"aaa")</f>
        <v>vr</v>
      </c>
      <c r="AG5" s="1" t="str">
        <f>TEXT(WEEKDAY(DATE(CalendarYear,2,29),1),"aaa")</f>
        <v>za</v>
      </c>
      <c r="AH5" s="1"/>
      <c r="AI5" s="1"/>
      <c r="AJ5" s="3"/>
      <c r="AK5" s="1"/>
      <c r="AL5" s="3"/>
    </row>
    <row r="6" spans="1:38" ht="15" customHeight="1" thickBot="1" x14ac:dyDescent="0.3">
      <c r="A6" s="5" t="s">
        <v>3</v>
      </c>
      <c r="B6" s="1" t="s">
        <v>4</v>
      </c>
      <c r="C6" s="1" t="s">
        <v>5</v>
      </c>
      <c r="D6" s="1" t="s">
        <v>6</v>
      </c>
      <c r="E6" s="1" t="s">
        <v>7</v>
      </c>
      <c r="F6" s="1" t="s">
        <v>8</v>
      </c>
      <c r="G6" s="1" t="s">
        <v>9</v>
      </c>
      <c r="H6" s="1" t="s">
        <v>10</v>
      </c>
      <c r="I6" s="1" t="s">
        <v>11</v>
      </c>
      <c r="J6" s="1" t="s">
        <v>12</v>
      </c>
      <c r="K6" s="1" t="s">
        <v>13</v>
      </c>
      <c r="L6" s="1" t="s">
        <v>14</v>
      </c>
      <c r="M6" s="1" t="s">
        <v>15</v>
      </c>
      <c r="N6" s="1" t="s">
        <v>16</v>
      </c>
      <c r="O6" s="1" t="s">
        <v>17</v>
      </c>
      <c r="P6" s="1" t="s">
        <v>18</v>
      </c>
      <c r="Q6" s="1" t="s">
        <v>19</v>
      </c>
      <c r="R6" s="1" t="s">
        <v>20</v>
      </c>
      <c r="S6" s="1" t="s">
        <v>21</v>
      </c>
      <c r="T6" s="1" t="s">
        <v>22</v>
      </c>
      <c r="U6" s="1" t="s">
        <v>23</v>
      </c>
      <c r="V6" s="1" t="s">
        <v>24</v>
      </c>
      <c r="W6" s="1" t="s">
        <v>25</v>
      </c>
      <c r="X6" s="1" t="s">
        <v>26</v>
      </c>
      <c r="Y6" s="1" t="s">
        <v>27</v>
      </c>
      <c r="Z6" s="1" t="s">
        <v>28</v>
      </c>
      <c r="AA6" s="1" t="s">
        <v>29</v>
      </c>
      <c r="AB6" s="1" t="s">
        <v>30</v>
      </c>
      <c r="AC6" s="1" t="s">
        <v>31</v>
      </c>
      <c r="AD6" s="1" t="s">
        <v>32</v>
      </c>
      <c r="AE6" s="1" t="s">
        <v>33</v>
      </c>
      <c r="AF6" s="1" t="s">
        <v>34</v>
      </c>
      <c r="AG6" s="1" t="s">
        <v>35</v>
      </c>
      <c r="AH6" s="1" t="s">
        <v>45</v>
      </c>
      <c r="AI6" s="1" t="s">
        <v>46</v>
      </c>
      <c r="AJ6" s="6" t="s">
        <v>38</v>
      </c>
      <c r="AK6" s="11" t="s">
        <v>56</v>
      </c>
      <c r="AL6" s="9" t="s">
        <v>39</v>
      </c>
    </row>
    <row r="7" spans="1:38" ht="30" customHeight="1" thickBot="1" x14ac:dyDescent="0.3">
      <c r="A7" t="s">
        <v>43</v>
      </c>
      <c r="B7" s="1">
        <v>273856</v>
      </c>
      <c r="C7" s="1">
        <v>276579</v>
      </c>
      <c r="D7" s="1" t="s">
        <v>61</v>
      </c>
      <c r="E7">
        <v>102</v>
      </c>
      <c r="F7">
        <v>98</v>
      </c>
      <c r="R7">
        <v>96</v>
      </c>
      <c r="S7">
        <v>116</v>
      </c>
      <c r="T7">
        <v>126</v>
      </c>
      <c r="Y7">
        <v>102</v>
      </c>
      <c r="Z7">
        <v>108</v>
      </c>
      <c r="AA7">
        <v>95</v>
      </c>
      <c r="AF7">
        <v>106</v>
      </c>
      <c r="AJ7" s="8">
        <f>SUM(Februari[[#This Row],[1]:[29]])</f>
        <v>949</v>
      </c>
      <c r="AK7" s="1">
        <f>Februari[[#This Row],[Totaal aantal km]]*0.4</f>
        <v>379.6</v>
      </c>
      <c r="AL7" s="20"/>
    </row>
    <row r="8" spans="1:38" ht="30" customHeight="1" thickBot="1" x14ac:dyDescent="0.3">
      <c r="A8" t="s">
        <v>40</v>
      </c>
      <c r="B8" s="1">
        <v>219010</v>
      </c>
      <c r="C8" s="1">
        <v>221109</v>
      </c>
      <c r="D8" s="1" t="s">
        <v>62</v>
      </c>
      <c r="E8">
        <v>110</v>
      </c>
      <c r="F8">
        <v>102</v>
      </c>
      <c r="L8">
        <v>102</v>
      </c>
      <c r="M8">
        <v>107</v>
      </c>
      <c r="AJ8" s="8">
        <f>SUM(Februari[[#This Row],[1]:[29]])</f>
        <v>421</v>
      </c>
      <c r="AK8" s="1">
        <f>Februari[[#This Row],[Totaal aantal km]]*0.4</f>
        <v>168.4</v>
      </c>
      <c r="AL8" s="20"/>
    </row>
    <row r="9" spans="1:38" ht="30" customHeight="1" thickBot="1" x14ac:dyDescent="0.3">
      <c r="A9" s="24" t="s">
        <v>69</v>
      </c>
      <c r="B9" s="1">
        <v>187988</v>
      </c>
      <c r="C9" s="1">
        <v>189952</v>
      </c>
      <c r="D9" s="1" t="s">
        <v>70</v>
      </c>
      <c r="E9">
        <v>48</v>
      </c>
      <c r="F9">
        <v>43</v>
      </c>
      <c r="H9">
        <v>56</v>
      </c>
      <c r="I9">
        <v>41</v>
      </c>
      <c r="J9">
        <v>62</v>
      </c>
      <c r="K9">
        <v>57</v>
      </c>
      <c r="L9">
        <v>53</v>
      </c>
      <c r="M9">
        <v>58</v>
      </c>
      <c r="O9">
        <v>52</v>
      </c>
      <c r="P9">
        <v>57</v>
      </c>
      <c r="Q9">
        <v>42</v>
      </c>
      <c r="R9">
        <v>66</v>
      </c>
      <c r="S9">
        <v>45</v>
      </c>
      <c r="T9">
        <v>52</v>
      </c>
      <c r="V9">
        <v>69</v>
      </c>
      <c r="W9">
        <v>63</v>
      </c>
      <c r="X9">
        <v>58</v>
      </c>
      <c r="Y9">
        <v>63</v>
      </c>
      <c r="Z9">
        <v>58</v>
      </c>
      <c r="AA9">
        <v>53</v>
      </c>
      <c r="AC9">
        <v>59</v>
      </c>
      <c r="AD9">
        <v>63</v>
      </c>
      <c r="AE9">
        <v>66</v>
      </c>
      <c r="AF9">
        <v>52</v>
      </c>
      <c r="AJ9" s="8">
        <f>SUM(Februari[[#This Row],[1]:[29]])</f>
        <v>1336</v>
      </c>
      <c r="AK9" s="1">
        <f>Februari[[#This Row],[Totaal aantal km]]*0.4</f>
        <v>534.4</v>
      </c>
      <c r="AL9" s="20"/>
    </row>
    <row r="10" spans="1:38" ht="30" customHeight="1" thickBot="1" x14ac:dyDescent="0.3">
      <c r="A10" t="s">
        <v>64</v>
      </c>
      <c r="B10" s="1">
        <v>160406</v>
      </c>
      <c r="C10" s="1">
        <v>161852</v>
      </c>
      <c r="D10" s="1" t="s">
        <v>65</v>
      </c>
      <c r="E10">
        <v>104</v>
      </c>
      <c r="F10">
        <v>93</v>
      </c>
      <c r="K10">
        <v>104</v>
      </c>
      <c r="L10">
        <v>98</v>
      </c>
      <c r="M10">
        <v>93</v>
      </c>
      <c r="T10">
        <v>114</v>
      </c>
      <c r="AJ10" s="8">
        <f>SUM(Februari[[#This Row],[1]:[29]])</f>
        <v>606</v>
      </c>
      <c r="AK10" s="1">
        <f>Februari[[#This Row],[Totaal aantal km]]*0.4</f>
        <v>242.4</v>
      </c>
      <c r="AL10" s="20"/>
    </row>
    <row r="11" spans="1:38" ht="30" customHeight="1" thickBot="1" x14ac:dyDescent="0.3">
      <c r="A11" t="s">
        <v>67</v>
      </c>
      <c r="E11" s="1">
        <v>88</v>
      </c>
      <c r="F11" s="1">
        <v>78</v>
      </c>
      <c r="G11" s="1"/>
      <c r="H11" s="1">
        <v>82</v>
      </c>
      <c r="I11" s="1">
        <v>98</v>
      </c>
      <c r="J11" s="1">
        <v>87</v>
      </c>
      <c r="K11" s="1">
        <v>61</v>
      </c>
      <c r="L11" s="1">
        <v>78</v>
      </c>
      <c r="M11" s="1">
        <v>74</v>
      </c>
      <c r="N11" s="1"/>
      <c r="O11" s="1">
        <v>78</v>
      </c>
      <c r="P11" s="1">
        <v>81</v>
      </c>
      <c r="Q11" s="1">
        <v>86</v>
      </c>
      <c r="R11" s="1">
        <v>89</v>
      </c>
      <c r="S11" s="1">
        <v>96</v>
      </c>
      <c r="T11" s="1">
        <v>103</v>
      </c>
      <c r="U11" s="1"/>
      <c r="V11" s="1">
        <v>109</v>
      </c>
      <c r="W11" s="1">
        <v>112</v>
      </c>
      <c r="X11" s="1">
        <v>106</v>
      </c>
      <c r="Y11" s="1">
        <v>85</v>
      </c>
      <c r="Z11" s="1">
        <v>96</v>
      </c>
      <c r="AA11" s="1">
        <v>102</v>
      </c>
      <c r="AB11" s="1"/>
      <c r="AC11" s="1">
        <v>86</v>
      </c>
      <c r="AD11" s="1">
        <v>79</v>
      </c>
      <c r="AE11" s="1">
        <v>83</v>
      </c>
      <c r="AF11" s="1">
        <v>87</v>
      </c>
      <c r="AG11" s="1"/>
      <c r="AH11" s="1"/>
      <c r="AI11" s="1"/>
      <c r="AJ11" s="2">
        <f>SUM(Februari[[#This Row],[1]:[29]])</f>
        <v>2124</v>
      </c>
      <c r="AK11" s="1">
        <f>Februari[[#This Row],[Totaal aantal km]]*0.4</f>
        <v>849.6</v>
      </c>
      <c r="AL11" s="20"/>
    </row>
    <row r="12" spans="1:38" ht="30" customHeight="1" thickBot="1" x14ac:dyDescent="0.3">
      <c r="A12" s="12"/>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t="s">
        <v>57</v>
      </c>
      <c r="AK12" s="14">
        <f>SUM(AK7:AK11)</f>
        <v>2174.4</v>
      </c>
      <c r="AL12" s="20"/>
    </row>
  </sheetData>
  <mergeCells count="1">
    <mergeCell ref="E4:AI4"/>
  </mergeCells>
  <phoneticPr fontId="18" type="noConversion"/>
  <conditionalFormatting sqref="E7:AI11">
    <cfRule type="expression" priority="2" stopIfTrue="1">
      <formula>E7=""</formula>
    </cfRule>
    <cfRule type="expression" dxfId="51" priority="3" stopIfTrue="1">
      <formula>E7=KeyCustom2</formula>
    </cfRule>
    <cfRule type="expression" dxfId="50" priority="5" stopIfTrue="1">
      <formula>E7=KeyCustom1</formula>
    </cfRule>
    <cfRule type="expression" dxfId="49" priority="6" stopIfTrue="1">
      <formula>E7=KeySick</formula>
    </cfRule>
    <cfRule type="expression" dxfId="48" priority="7" stopIfTrue="1">
      <formula>E7=KeyPersonal</formula>
    </cfRule>
    <cfRule type="expression" dxfId="47" priority="8" stopIfTrue="1">
      <formula>E7=KeyVacation</formula>
    </cfRule>
  </conditionalFormatting>
  <conditionalFormatting sqref="AG5">
    <cfRule type="expression" dxfId="46" priority="15">
      <formula>MONTH(DATE(CalendarYear,2,29))&lt;&gt;2</formula>
    </cfRule>
  </conditionalFormatting>
  <conditionalFormatting sqref="AG6">
    <cfRule type="expression" dxfId="45" priority="16">
      <formula>MONTH(DATE(CalendarYear,2,29))&lt;&gt;2</formula>
    </cfRule>
  </conditionalFormatting>
  <conditionalFormatting sqref="AJ7:AJ11">
    <cfRule type="dataBar" priority="450">
      <dataBar>
        <cfvo type="min"/>
        <cfvo type="formula" val="DATEDIF(DATE(CalendarYear,2,1),DATE(CalendarYear,3,1),&quot;d&quot;)"/>
        <color theme="2" tint="-0.249977111117893"/>
      </dataBar>
      <extLst>
        <ext xmlns:x14="http://schemas.microsoft.com/office/spreadsheetml/2009/9/main" uri="{B025F937-C7B1-47D3-B67F-A62EFF666E3E}">
          <x14:id>{94738C71-AB78-40C3-A818-D083AE35CC38}</x14:id>
        </ext>
      </extLst>
    </cfRule>
  </conditionalFormatting>
  <dataValidations xWindow="232" yWindow="365" count="7">
    <dataValidation allowBlank="1" showInputMessage="1" showErrorMessage="1" prompt="Automatisch bijgewerkt jaar op basis van het jaar dat in het werkblad januari is ingevoerd" sqref="AJ4" xr:uid="{00000000-0002-0000-0100-000000000000}"/>
    <dataValidation allowBlank="1" showInputMessage="1" showErrorMessage="1" prompt="Berekent automatisch het totaal aantal dagen die een werknemer in deze maand afwezig was in deze kolom" sqref="AJ6" xr:uid="{00000000-0002-0000-0100-000002000000}"/>
    <dataValidation allowBlank="1" showInputMessage="1" showErrorMessage="1" prompt="De titel wordt automatisch bijgewerkt in deze cel. Als u de titel wilt wijzigen, werk B1 in het januari-werkblad bij" sqref="A1:D1" xr:uid="{00000000-0002-0000-0100-000003000000}"/>
    <dataValidation allowBlank="1" showInputMessage="1" showErrorMessage="1" prompt="De naam van de maand voor dit verzuimschema bevindt zich in deze cel. De absentietotalen voor deze maand staan in de laatste cel van de tabel. Namen van werknemers selecteren in tabelkolom B" sqref="A4:D4 AL4:AL5" xr:uid="{00000000-0002-0000-0100-000004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6:D6 AL6" xr:uid="{83801023-CA73-4561-B136-E229AE79F583}"/>
    <dataValidation allowBlank="1" showInputMessage="1" showErrorMessage="1" prompt="De dagen van de maand in deze rij worden automatisch gegenereerd. Voer voor elke dag van de maand in elke kolom het verzuim en het type verzuim van een werknemer in. Leeg betekent geen verzuim" sqref="E6" xr:uid="{8BEAD6A4-BEB3-447B-BD69-9E82474D2692}"/>
    <dataValidation allowBlank="1" showInputMessage="1" showErrorMessage="1" prompt="De titel van het werkblad bevindt zich in deze cel. Werk de titel bij en de wijzigingen worden automatisch overgenomen door elk werkblad" sqref="AL1" xr:uid="{4531D471-46DF-4A6C-862E-66FB6FADB816}"/>
  </dataValidations>
  <printOptions horizontalCentered="1"/>
  <pageMargins left="0.25" right="0.25" top="0.75" bottom="0.75" header="0.3" footer="0.3"/>
  <pageSetup paperSize="9" scale="58"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4738C71-AB78-40C3-A818-D083AE35CC38}">
            <x14:dataBar minLength="0" maxLength="100">
              <x14:cfvo type="autoMin"/>
              <x14:cfvo type="formula">
                <xm:f>DATEDIF(DATE(CalendarYear,2,1),DATE(CalendarYear,3,1),"d")</xm:f>
              </x14:cfvo>
              <x14:negativeFillColor rgb="FFFF0000"/>
              <x14:axisColor rgb="FF000000"/>
            </x14:dataBar>
          </x14:cfRule>
          <xm:sqref>AJ7:AJ11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tabColor theme="2" tint="-0.499984740745262"/>
    <pageSetUpPr fitToPage="1"/>
  </sheetPr>
  <dimension ref="A1:AL12"/>
  <sheetViews>
    <sheetView showGridLines="0" zoomScaleNormal="100" workbookViewId="0">
      <selection activeCell="C11" sqref="C11"/>
    </sheetView>
  </sheetViews>
  <sheetFormatPr defaultRowHeight="30" customHeight="1" x14ac:dyDescent="0.25"/>
  <cols>
    <col min="1" max="1" width="21.42578125" customWidth="1"/>
    <col min="2" max="2" width="15.85546875" style="1" bestFit="1" customWidth="1"/>
    <col min="3" max="3" width="14.7109375" style="1" bestFit="1" customWidth="1"/>
    <col min="4" max="4" width="13.42578125" style="1" bestFit="1" customWidth="1"/>
    <col min="5" max="35" width="4.28515625" customWidth="1"/>
    <col min="36" max="36" width="15.5703125" style="1" bestFit="1" customWidth="1"/>
    <col min="37" max="37" width="14.85546875" bestFit="1" customWidth="1"/>
    <col min="38" max="38" width="16.7109375" bestFit="1" customWidth="1"/>
  </cols>
  <sheetData>
    <row r="1" spans="1:38" ht="50.1" customHeight="1" x14ac:dyDescent="0.25">
      <c r="A1" s="4" t="str">
        <f>Employee_Absence_Title</f>
        <v>Kilometer werknemers</v>
      </c>
      <c r="B1" s="17"/>
      <c r="C1" s="17"/>
      <c r="D1" s="17"/>
      <c r="AK1" s="1"/>
    </row>
    <row r="2" spans="1:38" ht="15" customHeight="1" x14ac:dyDescent="0.25">
      <c r="A2" s="4"/>
      <c r="B2" s="17"/>
      <c r="C2" s="17"/>
      <c r="D2" s="17"/>
      <c r="AK2" s="1"/>
    </row>
    <row r="3" spans="1:38" ht="30" customHeight="1" x14ac:dyDescent="0.25">
      <c r="A3" s="3" t="s">
        <v>59</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3">
        <f>CalendarYear</f>
        <v>2025</v>
      </c>
      <c r="AK3" s="11" t="s">
        <v>2</v>
      </c>
    </row>
    <row r="4" spans="1:38" ht="15" customHeight="1" x14ac:dyDescent="0.25">
      <c r="A4" s="3"/>
      <c r="B4" s="3"/>
      <c r="C4" s="3"/>
      <c r="D4" s="3"/>
      <c r="E4" s="1" t="str">
        <f>TEXT(WEEKDAY(DATE(CalendarYear,3,1),1),"aaa")</f>
        <v>za</v>
      </c>
      <c r="F4" s="1" t="str">
        <f>TEXT(WEEKDAY(DATE(CalendarYear,1,12),1),"aaa")</f>
        <v>zo</v>
      </c>
      <c r="G4" s="1" t="str">
        <f>TEXT(WEEKDAY(DATE(CalendarYear,1,13),1),"aaa")</f>
        <v>ma</v>
      </c>
      <c r="H4" s="1" t="str">
        <f>TEXT(WEEKDAY(DATE(CalendarYear,1,14),1),"aaa")</f>
        <v>di</v>
      </c>
      <c r="I4" s="1" t="str">
        <f>TEXT(WEEKDAY(DATE(CalendarYear,1,15),1),"aaa")</f>
        <v>wo</v>
      </c>
      <c r="J4" s="1" t="str">
        <f>TEXT(WEEKDAY(DATE(CalendarYear,1,16),1),"aaa")</f>
        <v>do</v>
      </c>
      <c r="K4" s="1" t="str">
        <f>TEXT(WEEKDAY(DATE(CalendarYear,1,17),1),"aaa")</f>
        <v>vr</v>
      </c>
      <c r="L4" s="1" t="str">
        <f>TEXT(WEEKDAY(DATE(CalendarYear,1,18),1),"aaa")</f>
        <v>za</v>
      </c>
      <c r="M4" s="1" t="str">
        <f>TEXT(WEEKDAY(DATE(CalendarYear,1,19),1),"aaa")</f>
        <v>zo</v>
      </c>
      <c r="N4" s="1" t="str">
        <f>TEXT(WEEKDAY(DATE(CalendarYear,1,20),1),"aaa")</f>
        <v>ma</v>
      </c>
      <c r="O4" s="1" t="str">
        <f>TEXT(WEEKDAY(DATE(CalendarYear,1,21),1),"aaa")</f>
        <v>di</v>
      </c>
      <c r="P4" s="1" t="str">
        <f>TEXT(WEEKDAY(DATE(CalendarYear,1,22),1),"aaa")</f>
        <v>wo</v>
      </c>
      <c r="Q4" s="1" t="str">
        <f>TEXT(WEEKDAY(DATE(CalendarYear,1,23),1),"aaa")</f>
        <v>do</v>
      </c>
      <c r="R4" s="1" t="str">
        <f>TEXT(WEEKDAY(DATE(CalendarYear,1,24),1),"aaa")</f>
        <v>vr</v>
      </c>
      <c r="S4" s="1" t="str">
        <f>TEXT(WEEKDAY(DATE(CalendarYear,1,25),1),"aaa")</f>
        <v>za</v>
      </c>
      <c r="T4" s="1" t="str">
        <f>TEXT(WEEKDAY(DATE(CalendarYear,1,26),1),"aaa")</f>
        <v>zo</v>
      </c>
      <c r="U4" s="1" t="str">
        <f>TEXT(WEEKDAY(DATE(CalendarYear,1,27),1),"aaa")</f>
        <v>ma</v>
      </c>
      <c r="V4" s="1" t="str">
        <f>TEXT(WEEKDAY(DATE(CalendarYear,1,28),1),"aaa")</f>
        <v>di</v>
      </c>
      <c r="W4" s="1" t="str">
        <f>TEXT(WEEKDAY(DATE(CalendarYear,1,29),1),"aaa")</f>
        <v>wo</v>
      </c>
      <c r="X4" s="1" t="str">
        <f>TEXT(WEEKDAY(DATE(CalendarYear,1,30),1),"aaa")</f>
        <v>do</v>
      </c>
      <c r="Y4" s="1" t="str">
        <f>TEXT(WEEKDAY(DATE(CalendarYear,1,31),1),"aaa")</f>
        <v>vr</v>
      </c>
      <c r="Z4" s="1" t="str">
        <f>TEXT(WEEKDAY(DATE(CalendarYear,1,4),1),"aaa")</f>
        <v>za</v>
      </c>
      <c r="AA4" s="1" t="str">
        <f>TEXT(WEEKDAY(DATE(CalendarYear,1,5),1),"aaa")</f>
        <v>zo</v>
      </c>
      <c r="AB4" s="1" t="str">
        <f>TEXT(WEEKDAY(DATE(CalendarYear,1,6),1),"aaa")</f>
        <v>ma</v>
      </c>
      <c r="AC4" s="1" t="str">
        <f>TEXT(WEEKDAY(DATE(CalendarYear,1,28),1),"aaa")</f>
        <v>di</v>
      </c>
      <c r="AD4" s="1" t="str">
        <f>TEXT(WEEKDAY(DATE(CalendarYear,1,15),1),"aaa")</f>
        <v>wo</v>
      </c>
      <c r="AE4" s="1" t="str">
        <f>TEXT(WEEKDAY(DATE(CalendarYear,1,16),1),"aaa")</f>
        <v>do</v>
      </c>
      <c r="AF4" s="1" t="str">
        <f>TEXT(WEEKDAY(DATE(CalendarYear,1,17),1),"aaa")</f>
        <v>vr</v>
      </c>
      <c r="AG4" s="1" t="str">
        <f>TEXT(WEEKDAY(DATE(CalendarYear,1,18),1),"aaa")</f>
        <v>za</v>
      </c>
      <c r="AH4" s="1" t="str">
        <f>TEXT(WEEKDAY(DATE(CalendarYear,1,19),1),"aaa")</f>
        <v>zo</v>
      </c>
      <c r="AI4" s="1" t="str">
        <f>TEXT(WEEKDAY(DATE(CalendarYear,1,20),1),"aaa")</f>
        <v>ma</v>
      </c>
      <c r="AL4" s="3"/>
    </row>
    <row r="5" spans="1:38" ht="15" customHeight="1" thickBot="1" x14ac:dyDescent="0.3">
      <c r="A5" s="5" t="s">
        <v>3</v>
      </c>
      <c r="B5" s="1" t="s">
        <v>4</v>
      </c>
      <c r="C5" s="1" t="s">
        <v>5</v>
      </c>
      <c r="D5" s="1" t="s">
        <v>6</v>
      </c>
      <c r="E5" t="s">
        <v>7</v>
      </c>
      <c r="F5" t="s">
        <v>8</v>
      </c>
      <c r="G5" t="s">
        <v>9</v>
      </c>
      <c r="H5" t="s">
        <v>10</v>
      </c>
      <c r="I5" t="s">
        <v>11</v>
      </c>
      <c r="J5" t="s">
        <v>12</v>
      </c>
      <c r="K5" t="s">
        <v>13</v>
      </c>
      <c r="L5" t="s">
        <v>14</v>
      </c>
      <c r="M5" t="s">
        <v>15</v>
      </c>
      <c r="N5" t="s">
        <v>16</v>
      </c>
      <c r="O5" t="s">
        <v>17</v>
      </c>
      <c r="P5" t="s">
        <v>18</v>
      </c>
      <c r="Q5" t="s">
        <v>19</v>
      </c>
      <c r="R5" t="s">
        <v>20</v>
      </c>
      <c r="S5" t="s">
        <v>21</v>
      </c>
      <c r="T5" t="s">
        <v>22</v>
      </c>
      <c r="U5" t="s">
        <v>23</v>
      </c>
      <c r="V5" t="s">
        <v>24</v>
      </c>
      <c r="W5" t="s">
        <v>25</v>
      </c>
      <c r="X5" t="s">
        <v>26</v>
      </c>
      <c r="Y5" t="s">
        <v>27</v>
      </c>
      <c r="Z5" t="s">
        <v>28</v>
      </c>
      <c r="AA5" t="s">
        <v>29</v>
      </c>
      <c r="AB5" t="s">
        <v>30</v>
      </c>
      <c r="AC5" t="s">
        <v>31</v>
      </c>
      <c r="AD5" t="s">
        <v>32</v>
      </c>
      <c r="AE5" t="s">
        <v>33</v>
      </c>
      <c r="AF5" t="s">
        <v>34</v>
      </c>
      <c r="AG5" t="s">
        <v>35</v>
      </c>
      <c r="AH5" t="s">
        <v>36</v>
      </c>
      <c r="AI5" t="s">
        <v>37</v>
      </c>
      <c r="AJ5" s="1" t="s">
        <v>38</v>
      </c>
      <c r="AK5" s="11" t="s">
        <v>56</v>
      </c>
      <c r="AL5" s="9" t="s">
        <v>39</v>
      </c>
    </row>
    <row r="6" spans="1:38" ht="30" customHeight="1" thickBot="1" x14ac:dyDescent="0.3">
      <c r="A6" t="s">
        <v>43</v>
      </c>
      <c r="B6" s="1">
        <v>276579</v>
      </c>
      <c r="C6" s="1">
        <v>279910</v>
      </c>
      <c r="D6" s="1" t="s">
        <v>61</v>
      </c>
      <c r="E6" s="1">
        <v>102</v>
      </c>
      <c r="F6">
        <v>94</v>
      </c>
      <c r="K6">
        <v>102</v>
      </c>
      <c r="M6">
        <v>96</v>
      </c>
      <c r="R6">
        <v>104</v>
      </c>
      <c r="S6">
        <v>97</v>
      </c>
      <c r="T6">
        <v>92</v>
      </c>
      <c r="Y6">
        <v>94</v>
      </c>
      <c r="Z6">
        <v>103</v>
      </c>
      <c r="AA6">
        <v>108</v>
      </c>
      <c r="AF6">
        <v>95</v>
      </c>
      <c r="AG6">
        <v>93</v>
      </c>
      <c r="AH6">
        <v>87</v>
      </c>
      <c r="AJ6" s="1">
        <f>SUM(Maart[[#This Row],[1]:[31]])</f>
        <v>1267</v>
      </c>
      <c r="AK6" s="1">
        <f>Maart[[#This Row],[Totaal aantal km]]*0.4</f>
        <v>506.8</v>
      </c>
      <c r="AL6" s="20"/>
    </row>
    <row r="7" spans="1:38" ht="30" customHeight="1" thickBot="1" x14ac:dyDescent="0.3">
      <c r="A7" t="s">
        <v>40</v>
      </c>
      <c r="B7" s="1">
        <v>221109</v>
      </c>
      <c r="C7" s="1">
        <v>222573</v>
      </c>
      <c r="D7" s="1" t="s">
        <v>62</v>
      </c>
      <c r="E7">
        <v>89</v>
      </c>
      <c r="F7">
        <v>96</v>
      </c>
      <c r="L7">
        <v>96</v>
      </c>
      <c r="M7">
        <v>103</v>
      </c>
      <c r="S7">
        <v>106</v>
      </c>
      <c r="T7">
        <v>107</v>
      </c>
      <c r="Z7">
        <v>91</v>
      </c>
      <c r="AA7">
        <v>95</v>
      </c>
      <c r="AG7">
        <v>82</v>
      </c>
      <c r="AH7">
        <v>99</v>
      </c>
      <c r="AJ7" s="1">
        <f>SUM(Maart[[#This Row],[1]:[31]])</f>
        <v>964</v>
      </c>
      <c r="AK7" s="1">
        <f>Maart[[#This Row],[Totaal aantal km]]*0.4</f>
        <v>385.6</v>
      </c>
      <c r="AL7" s="20"/>
    </row>
    <row r="8" spans="1:38" ht="30" customHeight="1" thickBot="1" x14ac:dyDescent="0.3">
      <c r="A8" t="s">
        <v>42</v>
      </c>
      <c r="B8" s="1">
        <v>130128</v>
      </c>
      <c r="C8" s="1">
        <v>131863</v>
      </c>
      <c r="D8" s="1" t="s">
        <v>63</v>
      </c>
      <c r="E8">
        <v>95</v>
      </c>
      <c r="F8">
        <v>86</v>
      </c>
      <c r="L8">
        <v>103</v>
      </c>
      <c r="M8">
        <v>109</v>
      </c>
      <c r="P8">
        <v>103</v>
      </c>
      <c r="Q8">
        <v>112</v>
      </c>
      <c r="R8">
        <v>92</v>
      </c>
      <c r="S8">
        <v>93</v>
      </c>
      <c r="T8">
        <v>84</v>
      </c>
      <c r="Z8">
        <v>98</v>
      </c>
      <c r="AA8">
        <v>85</v>
      </c>
      <c r="AD8">
        <v>75</v>
      </c>
      <c r="AE8">
        <v>85</v>
      </c>
      <c r="AF8">
        <v>71</v>
      </c>
      <c r="AG8">
        <v>62</v>
      </c>
      <c r="AH8">
        <v>82</v>
      </c>
      <c r="AJ8" s="1">
        <f>SUM(Maart[[#This Row],[1]:[31]])</f>
        <v>1435</v>
      </c>
      <c r="AK8" s="1">
        <f>Maart[[#This Row],[Totaal aantal km]]*0.4</f>
        <v>574</v>
      </c>
      <c r="AL8" s="20"/>
    </row>
    <row r="9" spans="1:38" ht="30" customHeight="1" thickBot="1" x14ac:dyDescent="0.3">
      <c r="A9" t="s">
        <v>71</v>
      </c>
      <c r="B9" s="1">
        <v>150136</v>
      </c>
      <c r="C9" s="1">
        <v>151600</v>
      </c>
      <c r="D9" s="1" t="s">
        <v>72</v>
      </c>
      <c r="E9">
        <v>93</v>
      </c>
      <c r="F9">
        <v>85</v>
      </c>
      <c r="L9">
        <v>108</v>
      </c>
      <c r="M9">
        <v>115</v>
      </c>
      <c r="S9">
        <v>86</v>
      </c>
      <c r="T9">
        <v>98</v>
      </c>
      <c r="Z9">
        <v>95</v>
      </c>
      <c r="AA9">
        <v>93</v>
      </c>
      <c r="AF9">
        <v>84</v>
      </c>
      <c r="AG9">
        <v>85</v>
      </c>
      <c r="AH9">
        <v>92</v>
      </c>
      <c r="AJ9" s="1">
        <f>SUM(Maart[[#This Row],[1]:[31]])</f>
        <v>1034</v>
      </c>
      <c r="AK9" s="1">
        <f>Maart[[#This Row],[Totaal aantal km]]*0.4</f>
        <v>413.6</v>
      </c>
      <c r="AL9" s="20"/>
    </row>
    <row r="10" spans="1:38" ht="30" customHeight="1" thickBot="1" x14ac:dyDescent="0.3">
      <c r="A10" t="s">
        <v>64</v>
      </c>
      <c r="B10" s="1">
        <v>161852</v>
      </c>
      <c r="C10" s="1">
        <v>164025</v>
      </c>
      <c r="D10" s="1" t="s">
        <v>65</v>
      </c>
      <c r="E10">
        <v>96</v>
      </c>
      <c r="F10">
        <v>94</v>
      </c>
      <c r="K10">
        <v>112</v>
      </c>
      <c r="L10">
        <v>116</v>
      </c>
      <c r="M10">
        <v>97</v>
      </c>
      <c r="S10">
        <v>93</v>
      </c>
      <c r="T10">
        <v>91</v>
      </c>
      <c r="Y10">
        <v>95</v>
      </c>
      <c r="Z10">
        <v>85</v>
      </c>
      <c r="AA10">
        <v>99</v>
      </c>
      <c r="AG10">
        <v>98</v>
      </c>
      <c r="AH10">
        <v>85</v>
      </c>
      <c r="AJ10" s="1">
        <f>SUM(Maart[[#This Row],[1]:[31]])</f>
        <v>1161</v>
      </c>
      <c r="AK10" s="1">
        <f>Maart[[#This Row],[Totaal aantal km]]*0.4</f>
        <v>464.40000000000003</v>
      </c>
      <c r="AL10" s="20"/>
    </row>
    <row r="11" spans="1:38" ht="30" customHeight="1" thickBot="1" x14ac:dyDescent="0.3">
      <c r="A11" t="s">
        <v>67</v>
      </c>
      <c r="E11">
        <v>72</v>
      </c>
      <c r="F11">
        <v>84</v>
      </c>
      <c r="H11">
        <v>66</v>
      </c>
      <c r="I11">
        <v>76</v>
      </c>
      <c r="J11">
        <v>68</v>
      </c>
      <c r="K11">
        <v>86</v>
      </c>
      <c r="L11">
        <v>78</v>
      </c>
      <c r="M11">
        <v>82</v>
      </c>
      <c r="O11">
        <v>75</v>
      </c>
      <c r="P11">
        <v>85</v>
      </c>
      <c r="Q11">
        <v>79</v>
      </c>
      <c r="R11">
        <v>62</v>
      </c>
      <c r="S11">
        <v>84</v>
      </c>
      <c r="T11">
        <v>52</v>
      </c>
      <c r="V11">
        <v>66</v>
      </c>
      <c r="W11">
        <v>76</v>
      </c>
      <c r="X11">
        <v>64</v>
      </c>
      <c r="Y11">
        <v>69</v>
      </c>
      <c r="Z11">
        <v>75</v>
      </c>
      <c r="AA11">
        <v>82</v>
      </c>
      <c r="AC11">
        <v>76</v>
      </c>
      <c r="AD11">
        <v>86</v>
      </c>
      <c r="AE11">
        <v>89</v>
      </c>
      <c r="AF11">
        <v>84</v>
      </c>
      <c r="AG11">
        <v>75</v>
      </c>
      <c r="AH11">
        <v>66</v>
      </c>
      <c r="AJ11" s="1">
        <f>SUM(Maart[[#This Row],[1]:[31]])</f>
        <v>1957</v>
      </c>
      <c r="AK11" s="1">
        <f>Maart[[#This Row],[Totaal aantal km]]*0.4</f>
        <v>782.80000000000007</v>
      </c>
      <c r="AL11" s="20"/>
    </row>
    <row r="12" spans="1:38" ht="30" customHeight="1" thickBot="1" x14ac:dyDescent="0.3">
      <c r="A12" s="12"/>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t="s">
        <v>57</v>
      </c>
      <c r="AK12" s="14">
        <f>SUM(AK6:AK11)</f>
        <v>3127.2000000000003</v>
      </c>
      <c r="AL12" s="20"/>
    </row>
  </sheetData>
  <mergeCells count="1">
    <mergeCell ref="E3:AI3"/>
  </mergeCells>
  <phoneticPr fontId="18" type="noConversion"/>
  <dataValidations count="7">
    <dataValidation allowBlank="1" showInputMessage="1" showErrorMessage="1" prompt="De dagen van de maand in deze rij worden automatisch gegenereerd. Voer voor elke dag van de maand in elke kolom het verzuim en het type verzuim van een werknemer in. Leeg betekent geen verzuim" sqref="E5" xr:uid="{3A22ADF0-C85A-4C43-8561-60E4ADED123E}"/>
    <dataValidation allowBlank="1" showInputMessage="1" showErrorMessage="1" prompt="De naam van de maand voor dit verzuimschema bevindt zich in deze cel. De absentietotalen voor deze maand staan in de laatste cel van de tabel. Namen van werknemers selecteren in tabelkolom B" sqref="A3:D3 AL4" xr:uid="{AE913FC8-8241-4CAC-944D-AD08568AE780}"/>
    <dataValidation allowBlank="1" showInputMessage="1" showErrorMessage="1" prompt="De titel wordt automatisch bijgewerkt in deze cel. Als u de titel wilt wijzigen, werk B1 in het januari-werkblad bij" sqref="A1:D1" xr:uid="{00000000-0002-0000-0200-000009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L5" xr:uid="{00000000-0002-0000-0200-00000A000000}"/>
    <dataValidation allowBlank="1" showInputMessage="1" showErrorMessage="1" prompt="Berekent automatisch het totaal aantal dagen die een werknemer in deze maand niet aanwezig was in deze kolom" sqref="AJ5" xr:uid="{00000000-0002-0000-0200-00000C000000}"/>
    <dataValidation allowBlank="1" showInputMessage="1" showErrorMessage="1" prompt="Automatisch bijgewerkt jaar op basis van het jaar dat in het werkblad januari is ingevoerd" sqref="AJ3" xr:uid="{B87A905D-1C86-442B-91C3-40B45A41402F}"/>
    <dataValidation allowBlank="1" showInputMessage="1" showErrorMessage="1" prompt="De titel van het werkblad bevindt zich in deze cel. Werk de titel bij en de wijzigingen worden automatisch overgenomen door elk werkblad" sqref="AL1" xr:uid="{80DC7D43-C5D3-4E92-AE90-ECFBAE8A7A9C}"/>
  </dataValidations>
  <printOptions horizontalCentered="1"/>
  <pageMargins left="0.25" right="0.25" top="0.75" bottom="0.75" header="0.3" footer="0.3"/>
  <pageSetup paperSize="9" scale="58" fitToHeight="0" orientation="landscape"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tabColor theme="2" tint="-0.249977111117893"/>
    <pageSetUpPr fitToPage="1"/>
  </sheetPr>
  <dimension ref="A1:AK12"/>
  <sheetViews>
    <sheetView showGridLines="0" zoomScaleNormal="100" workbookViewId="0">
      <selection activeCell="C9" sqref="C9"/>
    </sheetView>
  </sheetViews>
  <sheetFormatPr defaultRowHeight="30" customHeight="1" x14ac:dyDescent="0.25"/>
  <cols>
    <col min="1" max="1" width="21.85546875" customWidth="1"/>
    <col min="2" max="2" width="15.85546875" style="1" bestFit="1" customWidth="1"/>
    <col min="3" max="3" width="14.7109375" style="1" bestFit="1" customWidth="1"/>
    <col min="4" max="4" width="13.42578125" style="1" bestFit="1" customWidth="1"/>
    <col min="5" max="34" width="4.28515625" customWidth="1"/>
    <col min="35" max="35" width="15.5703125" bestFit="1" customWidth="1"/>
    <col min="36" max="36" width="14.85546875" bestFit="1" customWidth="1"/>
    <col min="37" max="37" width="16.7109375" bestFit="1" customWidth="1"/>
  </cols>
  <sheetData>
    <row r="1" spans="1:37" ht="50.1" customHeight="1" x14ac:dyDescent="0.25">
      <c r="A1" s="4" t="str">
        <f>Employee_Absence_Title</f>
        <v>Kilometer werknemers</v>
      </c>
      <c r="B1" s="17"/>
      <c r="C1" s="17"/>
      <c r="D1" s="17"/>
      <c r="AJ1" s="1"/>
    </row>
    <row r="2" spans="1:37" ht="15" customHeight="1" x14ac:dyDescent="0.25">
      <c r="A2" s="4"/>
      <c r="B2" s="17"/>
      <c r="C2" s="17"/>
      <c r="D2" s="17"/>
      <c r="AJ2" s="1"/>
    </row>
    <row r="3" spans="1:37" ht="30" customHeight="1" x14ac:dyDescent="0.25">
      <c r="A3" s="3" t="s">
        <v>47</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3">
        <f>CalendarYear</f>
        <v>2025</v>
      </c>
      <c r="AJ3" s="1"/>
    </row>
    <row r="4" spans="1:37" ht="15" customHeight="1" x14ac:dyDescent="0.25">
      <c r="A4" s="3"/>
      <c r="B4" s="3"/>
      <c r="C4" s="3"/>
      <c r="D4" s="3"/>
      <c r="E4" s="1" t="str">
        <f>TEXT(WEEKDAY(DATE(CalendarYear,4,1),1),"aaa")</f>
        <v>di</v>
      </c>
      <c r="F4" s="1" t="str">
        <f>TEXT(WEEKDAY(DATE(CalendarYear,1,8),1),"aaa")</f>
        <v>wo</v>
      </c>
      <c r="G4" s="1" t="str">
        <f>TEXT(WEEKDAY(DATE(CalendarYear,1,2),1),"aaa")</f>
        <v>do</v>
      </c>
      <c r="H4" s="1" t="str">
        <f>TEXT(WEEKDAY(DATE(CalendarYear,1,3),1),"aaa")</f>
        <v>vr</v>
      </c>
      <c r="I4" s="1" t="str">
        <f>TEXT(WEEKDAY(DATE(CalendarYear,1,4),1),"aaa")</f>
        <v>za</v>
      </c>
      <c r="J4" s="1" t="str">
        <f>TEXT(WEEKDAY(DATE(CalendarYear,1,5),1),"aaa")</f>
        <v>zo</v>
      </c>
      <c r="K4" s="1" t="str">
        <f>TEXT(WEEKDAY(DATE(CalendarYear,1,6),1),"aaa")</f>
        <v>ma</v>
      </c>
      <c r="L4" s="1" t="str">
        <f>TEXT(WEEKDAY(DATE(CalendarYear,1,7),1),"aaa")</f>
        <v>di</v>
      </c>
      <c r="M4" s="1" t="str">
        <f>TEXT(WEEKDAY(DATE(CalendarYear,1,8),1),"aaa")</f>
        <v>wo</v>
      </c>
      <c r="N4" s="1" t="str">
        <f>TEXT(WEEKDAY(DATE(CalendarYear,1,9),1),"aaa")</f>
        <v>do</v>
      </c>
      <c r="O4" s="1" t="str">
        <f>TEXT(WEEKDAY(DATE(CalendarYear,1,10),1),"aaa")</f>
        <v>vr</v>
      </c>
      <c r="P4" s="1" t="str">
        <f>TEXT(WEEKDAY(DATE(CalendarYear,1,11),1),"aaa")</f>
        <v>za</v>
      </c>
      <c r="Q4" s="1" t="str">
        <f>TEXT(WEEKDAY(DATE(CalendarYear,1,12),1),"aaa")</f>
        <v>zo</v>
      </c>
      <c r="R4" s="1" t="str">
        <f>TEXT(WEEKDAY(DATE(CalendarYear,1,13),1),"aaa")</f>
        <v>ma</v>
      </c>
      <c r="S4" s="1" t="str">
        <f>TEXT(WEEKDAY(DATE(CalendarYear,1,14),1),"aaa")</f>
        <v>di</v>
      </c>
      <c r="T4" s="1" t="str">
        <f>TEXT(WEEKDAY(DATE(CalendarYear,1,15),1),"aaa")</f>
        <v>wo</v>
      </c>
      <c r="U4" s="1" t="str">
        <f>TEXT(WEEKDAY(DATE(CalendarYear,1,16),1),"aaa")</f>
        <v>do</v>
      </c>
      <c r="V4" s="1" t="str">
        <f>TEXT(WEEKDAY(DATE(CalendarYear,1,17),1),"aaa")</f>
        <v>vr</v>
      </c>
      <c r="W4" s="1" t="str">
        <f>TEXT(WEEKDAY(DATE(CalendarYear,1,18),1),"aaa")</f>
        <v>za</v>
      </c>
      <c r="X4" s="1" t="str">
        <f>TEXT(WEEKDAY(DATE(CalendarYear,1,19),1),"aaa")</f>
        <v>zo</v>
      </c>
      <c r="Y4" s="1" t="str">
        <f>TEXT(WEEKDAY(DATE(CalendarYear,1,20),1),"aaa")</f>
        <v>ma</v>
      </c>
      <c r="Z4" s="1" t="str">
        <f>TEXT(WEEKDAY(DATE(CalendarYear,1,21),1),"aaa")</f>
        <v>di</v>
      </c>
      <c r="AA4" s="1" t="str">
        <f>TEXT(WEEKDAY(DATE(CalendarYear,1,22),1),"aaa")</f>
        <v>wo</v>
      </c>
      <c r="AB4" s="1" t="str">
        <f>TEXT(WEEKDAY(DATE(CalendarYear,1,23),1),"aaa")</f>
        <v>do</v>
      </c>
      <c r="AC4" s="1" t="str">
        <f>TEXT(WEEKDAY(DATE(CalendarYear,1,24),1),"aaa")</f>
        <v>vr</v>
      </c>
      <c r="AD4" s="1" t="str">
        <f>TEXT(WEEKDAY(DATE(CalendarYear,1,25),1),"aaa")</f>
        <v>za</v>
      </c>
      <c r="AE4" s="1" t="str">
        <f>TEXT(WEEKDAY(DATE(CalendarYear,1,26),1),"aaa")</f>
        <v>zo</v>
      </c>
      <c r="AF4" s="1" t="str">
        <f>TEXT(WEEKDAY(DATE(CalendarYear,1,27),1),"aaa")</f>
        <v>ma</v>
      </c>
      <c r="AG4" s="1" t="str">
        <f>TEXT(WEEKDAY(DATE(CalendarYear,1,28),1),"aaa")</f>
        <v>di</v>
      </c>
      <c r="AH4" s="1" t="str">
        <f>TEXT(WEEKDAY(DATE(CalendarYear,1,29),1),"aaa")</f>
        <v>wo</v>
      </c>
      <c r="AI4" s="3"/>
      <c r="AJ4" s="11" t="s">
        <v>2</v>
      </c>
      <c r="AK4" s="3"/>
    </row>
    <row r="5" spans="1:37" ht="15" customHeight="1" x14ac:dyDescent="0.25">
      <c r="A5" s="5" t="s">
        <v>3</v>
      </c>
      <c r="B5" s="1" t="s">
        <v>4</v>
      </c>
      <c r="C5" s="1" t="s">
        <v>5</v>
      </c>
      <c r="D5" s="1" t="s">
        <v>6</v>
      </c>
      <c r="E5" s="1" t="s">
        <v>7</v>
      </c>
      <c r="F5" t="s">
        <v>68</v>
      </c>
      <c r="G5" s="1" t="s">
        <v>8</v>
      </c>
      <c r="H5" s="1" t="s">
        <v>9</v>
      </c>
      <c r="I5" s="1" t="s">
        <v>10</v>
      </c>
      <c r="J5" s="1" t="s">
        <v>11</v>
      </c>
      <c r="K5" s="1" t="s">
        <v>12</v>
      </c>
      <c r="L5" s="1" t="s">
        <v>13</v>
      </c>
      <c r="M5" s="1" t="s">
        <v>14</v>
      </c>
      <c r="N5" s="1" t="s">
        <v>15</v>
      </c>
      <c r="O5" s="1" t="s">
        <v>16</v>
      </c>
      <c r="P5" s="1" t="s">
        <v>17</v>
      </c>
      <c r="Q5" s="1" t="s">
        <v>18</v>
      </c>
      <c r="R5" s="1" t="s">
        <v>19</v>
      </c>
      <c r="S5" s="1" t="s">
        <v>20</v>
      </c>
      <c r="T5" s="1" t="s">
        <v>21</v>
      </c>
      <c r="U5" s="1" t="s">
        <v>22</v>
      </c>
      <c r="V5" s="1" t="s">
        <v>23</v>
      </c>
      <c r="W5" s="1" t="s">
        <v>24</v>
      </c>
      <c r="X5" s="1" t="s">
        <v>25</v>
      </c>
      <c r="Y5" s="1" t="s">
        <v>26</v>
      </c>
      <c r="Z5" s="1" t="s">
        <v>27</v>
      </c>
      <c r="AA5" s="1" t="s">
        <v>28</v>
      </c>
      <c r="AB5" s="1" t="s">
        <v>29</v>
      </c>
      <c r="AC5" s="1" t="s">
        <v>30</v>
      </c>
      <c r="AD5" s="1" t="s">
        <v>31</v>
      </c>
      <c r="AE5" s="1" t="s">
        <v>32</v>
      </c>
      <c r="AF5" s="1" t="s">
        <v>33</v>
      </c>
      <c r="AG5" s="1" t="s">
        <v>34</v>
      </c>
      <c r="AH5" s="1" t="s">
        <v>35</v>
      </c>
      <c r="AI5" s="6" t="s">
        <v>38</v>
      </c>
      <c r="AJ5" s="11" t="s">
        <v>56</v>
      </c>
      <c r="AK5" s="9" t="s">
        <v>39</v>
      </c>
    </row>
    <row r="6" spans="1:37" ht="30" customHeight="1" x14ac:dyDescent="0.25">
      <c r="A6" t="s">
        <v>43</v>
      </c>
      <c r="B6" s="1">
        <v>279910</v>
      </c>
      <c r="C6" s="1">
        <v>283154</v>
      </c>
      <c r="D6" s="1" t="s">
        <v>61</v>
      </c>
      <c r="H6">
        <v>102</v>
      </c>
      <c r="I6">
        <v>97</v>
      </c>
      <c r="J6">
        <v>84</v>
      </c>
      <c r="O6">
        <v>92</v>
      </c>
      <c r="P6">
        <v>102</v>
      </c>
      <c r="Q6">
        <v>96</v>
      </c>
      <c r="AC6">
        <v>88</v>
      </c>
      <c r="AD6">
        <v>93</v>
      </c>
      <c r="AE6">
        <v>95</v>
      </c>
      <c r="AI6" s="8">
        <f>SUM(April[[#This Row],[1]:[29]])</f>
        <v>849</v>
      </c>
      <c r="AJ6" s="1">
        <f>April[[#This Row],[Totaal aantal km]]*0.4</f>
        <v>339.6</v>
      </c>
      <c r="AK6" s="10"/>
    </row>
    <row r="7" spans="1:37" ht="30" customHeight="1" x14ac:dyDescent="0.25">
      <c r="A7" t="s">
        <v>40</v>
      </c>
      <c r="B7" s="1">
        <v>222573</v>
      </c>
      <c r="C7" s="1">
        <v>226149</v>
      </c>
      <c r="D7" s="1" t="s">
        <v>62</v>
      </c>
      <c r="I7">
        <v>87</v>
      </c>
      <c r="J7">
        <v>93</v>
      </c>
      <c r="P7">
        <v>108</v>
      </c>
      <c r="Q7">
        <v>103</v>
      </c>
      <c r="W7">
        <v>104</v>
      </c>
      <c r="X7">
        <v>98</v>
      </c>
      <c r="AD7">
        <v>97</v>
      </c>
      <c r="AE7">
        <v>102</v>
      </c>
      <c r="AI7" s="8">
        <f>SUM(April[[#This Row],[1]:[29]])</f>
        <v>792</v>
      </c>
      <c r="AJ7" s="1">
        <f>April[[#This Row],[Totaal aantal km]]*0.4</f>
        <v>316.8</v>
      </c>
      <c r="AK7" s="10"/>
    </row>
    <row r="8" spans="1:37" ht="30" customHeight="1" x14ac:dyDescent="0.25">
      <c r="A8" t="s">
        <v>42</v>
      </c>
      <c r="B8" s="1">
        <v>131863</v>
      </c>
      <c r="C8" s="1">
        <v>134174</v>
      </c>
      <c r="D8" s="1" t="s">
        <v>63</v>
      </c>
      <c r="E8" s="1"/>
      <c r="F8" s="1"/>
      <c r="G8" s="1"/>
      <c r="H8" s="1"/>
      <c r="I8" s="1">
        <v>85</v>
      </c>
      <c r="J8" s="1">
        <v>78</v>
      </c>
      <c r="K8" s="1"/>
      <c r="L8" s="1"/>
      <c r="M8" s="1">
        <v>112</v>
      </c>
      <c r="N8" s="1">
        <v>108</v>
      </c>
      <c r="O8" s="1">
        <v>85</v>
      </c>
      <c r="P8" s="1"/>
      <c r="Q8" s="1">
        <v>92</v>
      </c>
      <c r="R8" s="1"/>
      <c r="S8" s="1"/>
      <c r="T8" s="1"/>
      <c r="U8" s="1"/>
      <c r="V8" s="1"/>
      <c r="W8" s="1">
        <v>96</v>
      </c>
      <c r="X8" s="1">
        <v>87</v>
      </c>
      <c r="Y8" s="1">
        <v>98</v>
      </c>
      <c r="Z8" s="1"/>
      <c r="AA8" s="1">
        <v>118</v>
      </c>
      <c r="AB8" s="1">
        <v>106</v>
      </c>
      <c r="AC8" s="1">
        <v>86</v>
      </c>
      <c r="AD8" s="1">
        <v>81</v>
      </c>
      <c r="AE8" s="1">
        <v>96</v>
      </c>
      <c r="AF8" s="1"/>
      <c r="AG8" s="1"/>
      <c r="AH8" s="1"/>
      <c r="AI8" s="2">
        <f>SUM(April[[#This Row],[1]:[29]])</f>
        <v>1328</v>
      </c>
      <c r="AJ8" s="1">
        <f>April[[#This Row],[Totaal aantal km]]*0.4</f>
        <v>531.20000000000005</v>
      </c>
      <c r="AK8" s="10"/>
    </row>
    <row r="9" spans="1:37" ht="30" customHeight="1" x14ac:dyDescent="0.25">
      <c r="A9" t="s">
        <v>71</v>
      </c>
      <c r="B9" s="1">
        <v>151600</v>
      </c>
      <c r="C9" s="1">
        <v>153477</v>
      </c>
      <c r="D9" s="1" t="s">
        <v>73</v>
      </c>
      <c r="H9">
        <v>78</v>
      </c>
      <c r="I9">
        <v>89</v>
      </c>
      <c r="J9">
        <v>95</v>
      </c>
      <c r="P9">
        <v>82</v>
      </c>
      <c r="Q9">
        <v>104</v>
      </c>
      <c r="V9">
        <v>95</v>
      </c>
      <c r="W9">
        <v>78</v>
      </c>
      <c r="X9">
        <v>86</v>
      </c>
      <c r="Y9">
        <v>95</v>
      </c>
      <c r="AD9">
        <v>84</v>
      </c>
      <c r="AE9">
        <v>98</v>
      </c>
      <c r="AI9" s="8">
        <f>SUM(April[[#This Row],[1]:[29]])</f>
        <v>984</v>
      </c>
      <c r="AJ9" s="1">
        <f>April[[#This Row],[Totaal aantal km]]*0.4</f>
        <v>393.6</v>
      </c>
      <c r="AK9" s="10"/>
    </row>
    <row r="10" spans="1:37" ht="30" customHeight="1" x14ac:dyDescent="0.25">
      <c r="A10" t="s">
        <v>64</v>
      </c>
      <c r="B10" s="1">
        <v>164025</v>
      </c>
      <c r="C10" s="1">
        <v>165154</v>
      </c>
      <c r="D10" s="1" t="s">
        <v>65</v>
      </c>
      <c r="H10">
        <v>99</v>
      </c>
      <c r="I10">
        <v>106</v>
      </c>
      <c r="AI10" s="8">
        <f>SUM(April[[#This Row],[1]:[29]])</f>
        <v>205</v>
      </c>
      <c r="AJ10" s="1">
        <f>April[[#This Row],[Totaal aantal km]]*0.4</f>
        <v>82</v>
      </c>
      <c r="AK10" s="10"/>
    </row>
    <row r="11" spans="1:37" ht="30" customHeight="1" x14ac:dyDescent="0.25">
      <c r="A11" t="s">
        <v>67</v>
      </c>
      <c r="E11" s="1">
        <v>77</v>
      </c>
      <c r="F11" s="1">
        <v>86</v>
      </c>
      <c r="G11" s="1">
        <v>81</v>
      </c>
      <c r="H11" s="1">
        <v>66</v>
      </c>
      <c r="I11" s="1">
        <v>48</v>
      </c>
      <c r="J11" s="1">
        <v>92</v>
      </c>
      <c r="K11" s="1"/>
      <c r="L11" s="1">
        <v>88</v>
      </c>
      <c r="M11" s="1">
        <v>67</v>
      </c>
      <c r="N11" s="1">
        <v>76</v>
      </c>
      <c r="O11" s="1">
        <v>82</v>
      </c>
      <c r="P11" s="1">
        <v>74</v>
      </c>
      <c r="Q11" s="1">
        <v>56</v>
      </c>
      <c r="R11" s="1"/>
      <c r="S11" s="1">
        <v>77</v>
      </c>
      <c r="T11" s="1">
        <v>86</v>
      </c>
      <c r="U11" s="1">
        <v>71</v>
      </c>
      <c r="V11" s="1">
        <v>75</v>
      </c>
      <c r="W11" s="1">
        <v>85</v>
      </c>
      <c r="X11" s="1">
        <v>92</v>
      </c>
      <c r="Y11" s="1">
        <v>71</v>
      </c>
      <c r="Z11" s="1">
        <v>85</v>
      </c>
      <c r="AA11" s="1">
        <v>63</v>
      </c>
      <c r="AB11" s="1">
        <v>76</v>
      </c>
      <c r="AC11" s="1">
        <v>57</v>
      </c>
      <c r="AD11" s="1">
        <v>64</v>
      </c>
      <c r="AE11" s="1">
        <v>47</v>
      </c>
      <c r="AF11" s="1"/>
      <c r="AG11" s="1">
        <v>66</v>
      </c>
      <c r="AH11" s="1">
        <v>76</v>
      </c>
      <c r="AI11" s="2">
        <f>SUM(April[[#This Row],[1]:[29]])</f>
        <v>1984</v>
      </c>
      <c r="AJ11" s="1">
        <f>April[[#This Row],[Totaal aantal km]]*0.4</f>
        <v>793.6</v>
      </c>
      <c r="AK11" s="10"/>
    </row>
    <row r="12" spans="1:37" ht="30" customHeight="1" thickBot="1" x14ac:dyDescent="0.3">
      <c r="A12" s="12"/>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t="s">
        <v>57</v>
      </c>
      <c r="AJ12" s="16">
        <f>SUM(AJ6:AJ11)</f>
        <v>2456.8000000000002</v>
      </c>
      <c r="AK12" s="10"/>
    </row>
  </sheetData>
  <mergeCells count="1">
    <mergeCell ref="E3:AH3"/>
  </mergeCells>
  <phoneticPr fontId="18" type="noConversion"/>
  <conditionalFormatting sqref="E6:AH11">
    <cfRule type="expression" priority="1" stopIfTrue="1">
      <formula>E6=""</formula>
    </cfRule>
    <cfRule type="expression" dxfId="44" priority="2" stopIfTrue="1">
      <formula>E6=KeyCustom2</formula>
    </cfRule>
    <cfRule type="expression" dxfId="43" priority="3" stopIfTrue="1">
      <formula>E6=KeyCustom1</formula>
    </cfRule>
    <cfRule type="expression" dxfId="42" priority="4" stopIfTrue="1">
      <formula>E6=KeySick</formula>
    </cfRule>
    <cfRule type="expression" dxfId="41" priority="5" stopIfTrue="1">
      <formula>E6=KeyPersonal</formula>
    </cfRule>
    <cfRule type="expression" dxfId="40" priority="6" stopIfTrue="1">
      <formula>E6=KeyVacation</formula>
    </cfRule>
  </conditionalFormatting>
  <conditionalFormatting sqref="AI6:AI11">
    <cfRule type="dataBar" priority="345">
      <dataBar>
        <cfvo type="min"/>
        <cfvo type="formula" val="DATEDIF(DATE(CalendarYear,2,1),DATE(CalendarYear,3,1),&quot;d&quot;)"/>
        <color theme="2" tint="-0.249977111117893"/>
      </dataBar>
      <extLst>
        <ext xmlns:x14="http://schemas.microsoft.com/office/spreadsheetml/2009/9/main" uri="{B025F937-C7B1-47D3-B67F-A62EFF666E3E}">
          <x14:id>{0C86709F-D813-4066-A3F1-C30F11214F4B}</x14:id>
        </ext>
      </extLst>
    </cfRule>
  </conditionalFormatting>
  <dataValidations count="8">
    <dataValidation allowBlank="1" showInputMessage="1" showErrorMessage="1" prompt="Automatisch bijgewerkt jaar op basis van het jaar dat in het werkblad januari is ingevoerd" sqref="AI3" xr:uid="{00000000-0002-0000-0300-000000000000}"/>
    <dataValidation allowBlank="1" showInputMessage="1" showErrorMessage="1" prompt="Berekent automatisch het totaal aantal dagen die een werknemer in deze maand niet aanwezig was in deze kolom" sqref="AI5" xr:uid="{00000000-0002-0000-0300-000001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K5" xr:uid="{00000000-0002-0000-0300-000003000000}"/>
    <dataValidation allowBlank="1" showInputMessage="1" showErrorMessage="1" prompt="De titel wordt automatisch bijgewerkt in deze cel. Als u de titel wilt wijzigen, werk B1 in het januari-werkblad bij" sqref="A1:D1" xr:uid="{00000000-0002-0000-0300-000004000000}"/>
    <dataValidation allowBlank="1" showInputMessage="1" showErrorMessage="1" prompt="De naam van de maand voor dit verzuimschema bevindt zich in deze cel. De absentietotalen voor deze maand staan in de laatste cel van de tabel. Namen van werknemers selecteren in tabelkolom B" sqref="A3:D3 AK4" xr:uid="{00000000-0002-0000-0300-00000B000000}"/>
    <dataValidation allowBlank="1" showInputMessage="1" showErrorMessage="1" prompt="De dagen van de maand in deze rij worden automatisch gegenereerd. Voer voor elke dag van de maand in elke kolom het verzuim en het type verzuim van een werknemer in. Leeg betekent geen verzuim" sqref="E5" xr:uid="{00000000-0002-0000-0300-00000C000000}"/>
    <dataValidation allowBlank="1" showInputMessage="1" showErrorMessage="1" prompt="De titel van het werkblad bevindt zich in deze cel. Werk de titel bij en de wijzigingen worden automatisch overgenomen door elk werkblad" sqref="AK1" xr:uid="{02E68768-8D48-4523-8F83-D20027F3B7CF}"/>
    <dataValidation allowBlank="1" showInputMessage="1" showErrorMessage="1" prompt="Weekdagen in deze rij worden automatisch bijgewerkt voor de maand, overeenkomstig het jaar dat is ingevoerd in AH4. Elke dag van de maand is een kolom om het verzuim en type verzuim van een werknemer te noteren" sqref="E4" xr:uid="{61D646E2-B272-44C0-A644-D9FFFFC6B9CC}"/>
  </dataValidations>
  <printOptions horizontalCentered="1"/>
  <pageMargins left="0.25" right="0.25" top="0.75" bottom="0.75" header="0.3" footer="0.3"/>
  <pageSetup paperSize="9" scale="59"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C86709F-D813-4066-A3F1-C30F11214F4B}">
            <x14:dataBar minLength="0" maxLength="100">
              <x14:cfvo type="autoMin"/>
              <x14:cfvo type="formula">
                <xm:f>DATEDIF(DATE(CalendarYear,2,1),DATE(CalendarYear,3,1),"d")</xm:f>
              </x14:cfvo>
              <x14:negativeFillColor rgb="FFFF0000"/>
              <x14:axisColor rgb="FF000000"/>
            </x14:dataBar>
          </x14:cfRule>
          <xm:sqref>AI6:AI11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tabColor theme="2" tint="-9.9978637043366805E-2"/>
    <pageSetUpPr fitToPage="1"/>
  </sheetPr>
  <dimension ref="A1:AL12"/>
  <sheetViews>
    <sheetView showGridLines="0" topLeftCell="A2" zoomScaleNormal="100" workbookViewId="0">
      <selection activeCell="C10" sqref="C10"/>
    </sheetView>
  </sheetViews>
  <sheetFormatPr defaultRowHeight="30" customHeight="1" x14ac:dyDescent="0.25"/>
  <cols>
    <col min="1" max="1" width="21.5703125" style="1" customWidth="1"/>
    <col min="2" max="2" width="15.85546875" style="1" bestFit="1" customWidth="1"/>
    <col min="3" max="3" width="14.7109375" style="1" bestFit="1" customWidth="1"/>
    <col min="4" max="4" width="13.42578125" style="1" bestFit="1" customWidth="1"/>
    <col min="5" max="35" width="4.28515625" customWidth="1"/>
    <col min="36" max="36" width="15.5703125" bestFit="1" customWidth="1"/>
    <col min="37" max="37" width="14.85546875" bestFit="1" customWidth="1"/>
    <col min="38" max="38" width="16.7109375" bestFit="1" customWidth="1"/>
  </cols>
  <sheetData>
    <row r="1" spans="1:38" ht="50.1" customHeight="1" x14ac:dyDescent="0.25">
      <c r="A1" s="17" t="str">
        <f>Employee_Absence_Title</f>
        <v>Kilometer werknemers</v>
      </c>
      <c r="B1" s="17"/>
      <c r="C1" s="17"/>
      <c r="D1" s="17"/>
    </row>
    <row r="2" spans="1:38" ht="15" customHeight="1" x14ac:dyDescent="0.25">
      <c r="A2" s="17"/>
      <c r="B2" s="17"/>
      <c r="C2" s="17"/>
      <c r="D2" s="17"/>
    </row>
    <row r="3" spans="1:38" ht="30" customHeight="1" x14ac:dyDescent="0.25">
      <c r="A3" s="3" t="s">
        <v>48</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3">
        <f>CalendarYear</f>
        <v>2025</v>
      </c>
    </row>
    <row r="4" spans="1:38" ht="15" customHeight="1" x14ac:dyDescent="0.25">
      <c r="A4" s="3"/>
      <c r="B4" s="3"/>
      <c r="C4" s="3"/>
      <c r="D4" s="3"/>
      <c r="E4" s="1" t="str">
        <f>TEXT(WEEKDAY(DATE(CalendarYear,5,1),1),"aaa")</f>
        <v>do</v>
      </c>
      <c r="F4" s="1" t="str">
        <f>TEXT(WEEKDAY(DATE(CalendarYear,1,10),1),"aaa")</f>
        <v>vr</v>
      </c>
      <c r="G4" s="1" t="str">
        <f>TEXT(WEEKDAY(DATE(CalendarYear,1,4),1),"aaa")</f>
        <v>za</v>
      </c>
      <c r="H4" s="1" t="str">
        <f>TEXT(WEEKDAY(DATE(CalendarYear,1,5),1),"aaa")</f>
        <v>zo</v>
      </c>
      <c r="I4" s="1" t="str">
        <f>TEXT(WEEKDAY(DATE(CalendarYear,1,6),1),"aaa")</f>
        <v>ma</v>
      </c>
      <c r="J4" s="1" t="str">
        <f>TEXT(WEEKDAY(DATE(CalendarYear,1,7),1),"aaa")</f>
        <v>di</v>
      </c>
      <c r="K4" s="1" t="str">
        <f>TEXT(WEEKDAY(DATE(CalendarYear,1,8),1),"aaa")</f>
        <v>wo</v>
      </c>
      <c r="L4" s="1" t="str">
        <f>TEXT(WEEKDAY(DATE(CalendarYear,1,9),1),"aaa")</f>
        <v>do</v>
      </c>
      <c r="M4" s="1" t="str">
        <f>TEXT(WEEKDAY(DATE(CalendarYear,1,10),1),"aaa")</f>
        <v>vr</v>
      </c>
      <c r="N4" s="1" t="str">
        <f>TEXT(WEEKDAY(DATE(CalendarYear,1,11),1),"aaa")</f>
        <v>za</v>
      </c>
      <c r="O4" s="1" t="str">
        <f>TEXT(WEEKDAY(DATE(CalendarYear,1,12),1),"aaa")</f>
        <v>zo</v>
      </c>
      <c r="P4" s="1" t="str">
        <f>TEXT(WEEKDAY(DATE(CalendarYear,1,13),1),"aaa")</f>
        <v>ma</v>
      </c>
      <c r="Q4" s="1" t="str">
        <f>TEXT(WEEKDAY(DATE(CalendarYear,1,14),1),"aaa")</f>
        <v>di</v>
      </c>
      <c r="R4" s="1" t="str">
        <f>TEXT(WEEKDAY(DATE(CalendarYear,1,15),1),"aaa")</f>
        <v>wo</v>
      </c>
      <c r="S4" s="1" t="str">
        <f>TEXT(WEEKDAY(DATE(CalendarYear,1,16),1),"aaa")</f>
        <v>do</v>
      </c>
      <c r="T4" s="1" t="str">
        <f>TEXT(WEEKDAY(DATE(CalendarYear,1,17),1),"aaa")</f>
        <v>vr</v>
      </c>
      <c r="U4" s="1" t="str">
        <f>TEXT(WEEKDAY(DATE(CalendarYear,1,18),1),"aaa")</f>
        <v>za</v>
      </c>
      <c r="V4" s="1" t="str">
        <f>TEXT(WEEKDAY(DATE(CalendarYear,1,19),1),"aaa")</f>
        <v>zo</v>
      </c>
      <c r="W4" s="1" t="str">
        <f>TEXT(WEEKDAY(DATE(CalendarYear,1,20),1),"aaa")</f>
        <v>ma</v>
      </c>
      <c r="X4" s="1" t="str">
        <f>TEXT(WEEKDAY(DATE(CalendarYear,1,21),1),"aaa")</f>
        <v>di</v>
      </c>
      <c r="Y4" s="1" t="str">
        <f>TEXT(WEEKDAY(DATE(CalendarYear,1,22),1),"aaa")</f>
        <v>wo</v>
      </c>
      <c r="Z4" s="1" t="str">
        <f>TEXT(WEEKDAY(DATE(CalendarYear,1,23),1),"aaa")</f>
        <v>do</v>
      </c>
      <c r="AA4" s="1" t="str">
        <f>TEXT(WEEKDAY(DATE(CalendarYear,1,24),1),"aaa")</f>
        <v>vr</v>
      </c>
      <c r="AB4" s="1" t="str">
        <f>TEXT(WEEKDAY(DATE(CalendarYear,1,25),1),"aaa")</f>
        <v>za</v>
      </c>
      <c r="AC4" s="1" t="str">
        <f>TEXT(WEEKDAY(DATE(CalendarYear,1,26),1),"aaa")</f>
        <v>zo</v>
      </c>
      <c r="AD4" s="1" t="str">
        <f>TEXT(WEEKDAY(DATE(CalendarYear,1,27),1),"aaa")</f>
        <v>ma</v>
      </c>
      <c r="AE4" s="1" t="str">
        <f>TEXT(WEEKDAY(DATE(CalendarYear,1,28),1),"aaa")</f>
        <v>di</v>
      </c>
      <c r="AF4" s="1" t="str">
        <f>TEXT(WEEKDAY(DATE(CalendarYear,1,29),1),"aaa")</f>
        <v>wo</v>
      </c>
      <c r="AG4" s="1" t="str">
        <f>TEXT(WEEKDAY(DATE(CalendarYear,1,23),1),"aaa")</f>
        <v>do</v>
      </c>
      <c r="AH4" s="1" t="str">
        <f>TEXT(WEEKDAY(DATE(CalendarYear,1,24),1),"aaa")</f>
        <v>vr</v>
      </c>
      <c r="AI4" s="1" t="str">
        <f>TEXT(WEEKDAY(DATE(CalendarYear,1,25),1),"aaa")</f>
        <v>za</v>
      </c>
      <c r="AJ4" s="3"/>
      <c r="AK4" s="11" t="s">
        <v>2</v>
      </c>
      <c r="AL4" s="3"/>
    </row>
    <row r="5" spans="1:38" ht="15" customHeight="1" x14ac:dyDescent="0.25">
      <c r="A5" s="2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1" t="s">
        <v>37</v>
      </c>
      <c r="AJ5" s="6" t="s">
        <v>38</v>
      </c>
      <c r="AK5" s="11" t="s">
        <v>56</v>
      </c>
      <c r="AL5" s="9" t="s">
        <v>39</v>
      </c>
    </row>
    <row r="6" spans="1:38" ht="30" customHeight="1" x14ac:dyDescent="0.25">
      <c r="A6" t="s">
        <v>43</v>
      </c>
      <c r="B6" s="1">
        <v>283154</v>
      </c>
      <c r="C6" s="1">
        <v>286715</v>
      </c>
      <c r="D6" s="1" t="s">
        <v>61</v>
      </c>
      <c r="E6">
        <v>78</v>
      </c>
      <c r="F6">
        <v>95</v>
      </c>
      <c r="G6">
        <v>83</v>
      </c>
      <c r="H6">
        <v>97</v>
      </c>
      <c r="M6">
        <v>88</v>
      </c>
      <c r="N6">
        <v>96</v>
      </c>
      <c r="O6">
        <v>87</v>
      </c>
      <c r="T6">
        <v>85</v>
      </c>
      <c r="U6">
        <v>96</v>
      </c>
      <c r="V6">
        <v>82</v>
      </c>
      <c r="AA6">
        <v>85</v>
      </c>
      <c r="AB6">
        <v>98</v>
      </c>
      <c r="AC6">
        <v>87</v>
      </c>
      <c r="AG6">
        <v>98</v>
      </c>
      <c r="AH6">
        <v>86</v>
      </c>
      <c r="AI6">
        <v>102</v>
      </c>
      <c r="AJ6" s="8">
        <f>SUM(Mei[[#This Row],[1]:[31]])</f>
        <v>1443</v>
      </c>
      <c r="AK6" s="1">
        <f>Mei[[#This Row],[Totaal aantal km]]*0.4</f>
        <v>577.20000000000005</v>
      </c>
      <c r="AL6" s="10"/>
    </row>
    <row r="7" spans="1:38" ht="30" customHeight="1" x14ac:dyDescent="0.25">
      <c r="A7" t="s">
        <v>71</v>
      </c>
      <c r="B7" s="1">
        <v>153477</v>
      </c>
      <c r="C7" s="1">
        <v>155079</v>
      </c>
      <c r="D7" s="1" t="s">
        <v>72</v>
      </c>
      <c r="E7">
        <v>91</v>
      </c>
      <c r="F7">
        <v>93</v>
      </c>
      <c r="G7">
        <v>74</v>
      </c>
      <c r="H7">
        <v>82</v>
      </c>
      <c r="N7">
        <v>84</v>
      </c>
      <c r="O7">
        <v>92</v>
      </c>
      <c r="T7">
        <v>76</v>
      </c>
      <c r="U7">
        <v>74</v>
      </c>
      <c r="V7">
        <v>96</v>
      </c>
      <c r="AB7">
        <v>88</v>
      </c>
      <c r="AC7">
        <v>78</v>
      </c>
      <c r="AG7">
        <v>95</v>
      </c>
      <c r="AH7">
        <v>86</v>
      </c>
      <c r="AI7">
        <v>76</v>
      </c>
      <c r="AJ7" s="8">
        <f>SUM(Mei[[#This Row],[1]:[31]])</f>
        <v>1185</v>
      </c>
      <c r="AK7" s="1">
        <f>Mei[[#This Row],[Totaal aantal km]]*0.4</f>
        <v>474</v>
      </c>
      <c r="AL7" s="10"/>
    </row>
    <row r="8" spans="1:38" ht="30" customHeight="1" x14ac:dyDescent="0.25">
      <c r="A8" t="s">
        <v>42</v>
      </c>
      <c r="B8" s="1">
        <v>134174</v>
      </c>
      <c r="C8" s="1">
        <v>136418</v>
      </c>
      <c r="D8" s="1" t="s">
        <v>63</v>
      </c>
      <c r="E8" s="1"/>
      <c r="F8" s="1"/>
      <c r="G8" s="1">
        <v>85</v>
      </c>
      <c r="H8" s="1">
        <v>81</v>
      </c>
      <c r="I8" s="1"/>
      <c r="J8" s="1"/>
      <c r="K8" s="1">
        <v>108</v>
      </c>
      <c r="L8" s="1">
        <v>112</v>
      </c>
      <c r="M8" s="1">
        <v>85</v>
      </c>
      <c r="N8" s="1">
        <v>81</v>
      </c>
      <c r="O8" s="1">
        <v>72</v>
      </c>
      <c r="P8" s="1"/>
      <c r="Q8" s="1"/>
      <c r="R8" s="1"/>
      <c r="S8" s="1"/>
      <c r="T8" s="1"/>
      <c r="U8" s="1">
        <v>88</v>
      </c>
      <c r="V8" s="1">
        <v>94</v>
      </c>
      <c r="W8" s="1"/>
      <c r="X8" s="1"/>
      <c r="Y8" s="1">
        <v>112</v>
      </c>
      <c r="Z8" s="1">
        <v>126</v>
      </c>
      <c r="AA8" s="1">
        <v>85</v>
      </c>
      <c r="AB8" s="1">
        <v>92</v>
      </c>
      <c r="AC8" s="1">
        <v>68</v>
      </c>
      <c r="AD8" s="1"/>
      <c r="AE8" s="1"/>
      <c r="AF8" s="1"/>
      <c r="AG8" s="1">
        <v>85</v>
      </c>
      <c r="AH8" s="1"/>
      <c r="AI8" s="1">
        <v>93</v>
      </c>
      <c r="AJ8" s="2">
        <f>SUM(Mei[[#This Row],[1]:[31]])</f>
        <v>1467</v>
      </c>
      <c r="AK8" s="1">
        <f>Mei[[#This Row],[Totaal aantal km]]*0.4</f>
        <v>586.80000000000007</v>
      </c>
      <c r="AL8" s="10"/>
    </row>
    <row r="9" spans="1:38" ht="30" customHeight="1" x14ac:dyDescent="0.25">
      <c r="A9" t="s">
        <v>41</v>
      </c>
      <c r="B9" s="1">
        <v>291227</v>
      </c>
      <c r="C9" s="1">
        <v>293757</v>
      </c>
      <c r="D9" s="1" t="s">
        <v>66</v>
      </c>
      <c r="E9" s="1">
        <v>86</v>
      </c>
      <c r="F9" s="1">
        <v>82</v>
      </c>
      <c r="G9" s="1">
        <v>85</v>
      </c>
      <c r="H9">
        <v>96</v>
      </c>
      <c r="J9">
        <v>103</v>
      </c>
      <c r="K9">
        <v>95</v>
      </c>
      <c r="O9">
        <v>86</v>
      </c>
      <c r="R9">
        <v>105</v>
      </c>
      <c r="V9">
        <v>93</v>
      </c>
      <c r="X9">
        <v>113</v>
      </c>
      <c r="AA9">
        <v>86</v>
      </c>
      <c r="AB9">
        <v>102</v>
      </c>
      <c r="AC9">
        <v>98</v>
      </c>
      <c r="AG9">
        <v>96</v>
      </c>
      <c r="AH9">
        <v>97</v>
      </c>
      <c r="AJ9" s="8">
        <f>SUM(Mei[[#This Row],[1]:[31]])</f>
        <v>1423</v>
      </c>
      <c r="AK9" s="1">
        <f>Mei[[#This Row],[Totaal aantal km]]*0.4</f>
        <v>569.20000000000005</v>
      </c>
      <c r="AL9" s="10"/>
    </row>
    <row r="10" spans="1:38" ht="30" customHeight="1" x14ac:dyDescent="0.25">
      <c r="A10" s="25" t="s">
        <v>40</v>
      </c>
      <c r="B10" s="1">
        <v>226149</v>
      </c>
      <c r="C10" s="1">
        <v>229099</v>
      </c>
      <c r="D10" s="1" t="s">
        <v>62</v>
      </c>
      <c r="E10" s="1"/>
      <c r="F10" s="1"/>
      <c r="G10" s="1">
        <v>102</v>
      </c>
      <c r="H10">
        <v>92</v>
      </c>
      <c r="N10">
        <v>105</v>
      </c>
      <c r="O10">
        <v>102</v>
      </c>
      <c r="U10">
        <v>85</v>
      </c>
      <c r="V10">
        <v>102</v>
      </c>
      <c r="AB10">
        <v>110</v>
      </c>
      <c r="AC10">
        <v>125</v>
      </c>
      <c r="AJ10" s="8">
        <f>SUM(Mei[[#This Row],[1]:[31]])</f>
        <v>823</v>
      </c>
      <c r="AK10" s="1"/>
      <c r="AL10" s="10"/>
    </row>
    <row r="11" spans="1:38" ht="30" customHeight="1" x14ac:dyDescent="0.25">
      <c r="A11" t="s">
        <v>67</v>
      </c>
      <c r="E11" s="1">
        <v>72</v>
      </c>
      <c r="F11" s="1">
        <v>65</v>
      </c>
      <c r="G11" s="1">
        <v>55</v>
      </c>
      <c r="H11" s="1">
        <v>42</v>
      </c>
      <c r="I11" s="1"/>
      <c r="J11" s="1">
        <v>55</v>
      </c>
      <c r="K11" s="1">
        <v>52</v>
      </c>
      <c r="L11" s="1">
        <v>58</v>
      </c>
      <c r="M11" s="1">
        <v>52</v>
      </c>
      <c r="N11" s="1">
        <v>59</v>
      </c>
      <c r="O11" s="1">
        <v>81</v>
      </c>
      <c r="P11" s="1"/>
      <c r="Q11" s="1">
        <v>66</v>
      </c>
      <c r="R11" s="1">
        <v>75</v>
      </c>
      <c r="S11" s="1">
        <v>61</v>
      </c>
      <c r="T11" s="1">
        <v>69</v>
      </c>
      <c r="U11" s="1">
        <v>58</v>
      </c>
      <c r="V11" s="1">
        <v>98</v>
      </c>
      <c r="W11" s="1"/>
      <c r="X11" s="1">
        <v>85</v>
      </c>
      <c r="Y11" s="1">
        <v>76</v>
      </c>
      <c r="Z11" s="1">
        <v>68</v>
      </c>
      <c r="AA11" s="1">
        <v>76</v>
      </c>
      <c r="AB11" s="1">
        <v>58</v>
      </c>
      <c r="AC11" s="1">
        <v>87</v>
      </c>
      <c r="AD11" s="1"/>
      <c r="AE11" s="1">
        <v>68</v>
      </c>
      <c r="AF11" s="1">
        <v>79</v>
      </c>
      <c r="AG11" s="1">
        <v>62</v>
      </c>
      <c r="AH11" s="1">
        <v>58</v>
      </c>
      <c r="AI11" s="1">
        <v>87</v>
      </c>
      <c r="AJ11" s="2">
        <f>SUM(Mei[[#This Row],[1]:[31]])</f>
        <v>1822</v>
      </c>
      <c r="AK11" s="1">
        <f>Mei[[#This Row],[Totaal aantal km]]*0.4</f>
        <v>728.80000000000007</v>
      </c>
      <c r="AL11" s="10"/>
    </row>
    <row r="12" spans="1:38" ht="30" customHeight="1" thickBot="1" x14ac:dyDescent="0.3">
      <c r="A12" s="22"/>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t="s">
        <v>57</v>
      </c>
      <c r="AK12" s="16">
        <f>SUM(AK6:AK11)</f>
        <v>2936</v>
      </c>
      <c r="AL12" s="10"/>
    </row>
  </sheetData>
  <mergeCells count="1">
    <mergeCell ref="E3:AI3"/>
  </mergeCells>
  <phoneticPr fontId="18" type="noConversion"/>
  <conditionalFormatting sqref="E6:AI11">
    <cfRule type="expression" priority="1" stopIfTrue="1">
      <formula>E6=""</formula>
    </cfRule>
    <cfRule type="expression" dxfId="39" priority="2" stopIfTrue="1">
      <formula>E6=KeyCustom2</formula>
    </cfRule>
    <cfRule type="expression" dxfId="38" priority="3" stopIfTrue="1">
      <formula>E6=KeyCustom1</formula>
    </cfRule>
    <cfRule type="expression" dxfId="37" priority="4" stopIfTrue="1">
      <formula>E6=KeySick</formula>
    </cfRule>
    <cfRule type="expression" dxfId="36" priority="5" stopIfTrue="1">
      <formula>E6=KeyPersonal</formula>
    </cfRule>
    <cfRule type="expression" dxfId="35" priority="6" stopIfTrue="1">
      <formula>E6=KeyVacation</formula>
    </cfRule>
  </conditionalFormatting>
  <conditionalFormatting sqref="AJ6:AJ11">
    <cfRule type="dataBar" priority="463">
      <dataBar>
        <cfvo type="min"/>
        <cfvo type="formula" val="DATEDIF(DATE(CalendarYear,2,1),DATE(CalendarYear,3,1),&quot;d&quot;)"/>
        <color theme="2" tint="-0.249977111117893"/>
      </dataBar>
      <extLst>
        <ext xmlns:x14="http://schemas.microsoft.com/office/spreadsheetml/2009/9/main" uri="{B025F937-C7B1-47D3-B67F-A62EFF666E3E}">
          <x14:id>{5670947F-8B3C-4A6C-A280-4F5E10811DCE}</x14:id>
        </ext>
      </extLst>
    </cfRule>
  </conditionalFormatting>
  <dataValidations count="6">
    <dataValidation allowBlank="1" showInputMessage="1" showErrorMessage="1" prompt="De dagen van de maand in deze rij worden automatisch gegenereerd. Voer voor elke dag van de maand in elke kolom het verzuim en het type verzuim van een werknemer in. Leeg betekent geen verzuim" sqref="E5" xr:uid="{00000000-0002-0000-0400-000000000000}"/>
    <dataValidation allowBlank="1" showInputMessage="1" showErrorMessage="1" prompt="De naam van de maand voor dit verzuimschema bevindt zich in deze cel. De absentietotalen voor deze maand staan in de laatste cel van de tabel. Namen van werknemers selecteren in tabelkolom B" sqref="A3:D3 AL4" xr:uid="{00000000-0002-0000-0400-000001000000}"/>
    <dataValidation allowBlank="1" showInputMessage="1" showErrorMessage="1" prompt="De titel wordt automatisch bijgewerkt in deze cel. Als u de titel wilt wijzigen, werk B1 in het januari-werkblad bij" sqref="A1:D1" xr:uid="{00000000-0002-0000-0400-000008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L5" xr:uid="{00000000-0002-0000-0400-000009000000}"/>
    <dataValidation allowBlank="1" showInputMessage="1" showErrorMessage="1" prompt="Berekent automatisch het totaal aantal dagen die een werknemer in deze maand niet aanwezig was in deze kolom" sqref="AJ5" xr:uid="{00000000-0002-0000-0400-00000B000000}"/>
    <dataValidation allowBlank="1" showInputMessage="1" showErrorMessage="1" prompt="Automatisch bijgewerkt jaar op basis van het jaar dat in het werkblad januari is ingevoerd" sqref="AJ3" xr:uid="{00000000-0002-0000-0400-00000C000000}"/>
  </dataValidations>
  <printOptions horizontalCentered="1"/>
  <pageMargins left="0.25" right="0.25" top="0.75" bottom="0.75" header="0.3" footer="0.3"/>
  <pageSetup paperSize="9" scale="58"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670947F-8B3C-4A6C-A280-4F5E10811DCE}">
            <x14:dataBar minLength="0" maxLength="100">
              <x14:cfvo type="autoMin"/>
              <x14:cfvo type="formula">
                <xm:f>DATEDIF(DATE(CalendarYear,2,1),DATE(CalendarYear,3,1),"d")</xm:f>
              </x14:cfvo>
              <x14:negativeFillColor rgb="FFFF0000"/>
              <x14:axisColor rgb="FF000000"/>
            </x14:dataBar>
          </x14:cfRule>
          <xm:sqref>AJ6:AJ11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tabColor theme="2"/>
    <pageSetUpPr fitToPage="1"/>
  </sheetPr>
  <dimension ref="A1:AK12"/>
  <sheetViews>
    <sheetView showGridLines="0" zoomScaleNormal="100" workbookViewId="0">
      <selection activeCell="D7" sqref="D7"/>
    </sheetView>
  </sheetViews>
  <sheetFormatPr defaultRowHeight="30" customHeight="1" x14ac:dyDescent="0.25"/>
  <cols>
    <col min="1" max="1" width="21.42578125" customWidth="1"/>
    <col min="2" max="2" width="15.85546875" style="1" bestFit="1" customWidth="1"/>
    <col min="3" max="3" width="14.7109375" style="1" bestFit="1" customWidth="1"/>
    <col min="4" max="4" width="13.42578125" style="1" bestFit="1" customWidth="1"/>
    <col min="5" max="34" width="4.28515625" customWidth="1"/>
    <col min="35" max="35" width="15.5703125" bestFit="1" customWidth="1"/>
    <col min="36" max="36" width="14.85546875" bestFit="1" customWidth="1"/>
    <col min="37" max="37" width="16.7109375" bestFit="1" customWidth="1"/>
  </cols>
  <sheetData>
    <row r="1" spans="1:37" ht="50.1" customHeight="1" x14ac:dyDescent="0.25">
      <c r="A1" s="4" t="str">
        <f>Employee_Absence_Title</f>
        <v>Kilometer werknemers</v>
      </c>
      <c r="B1" s="17"/>
      <c r="C1" s="17"/>
      <c r="D1" s="17"/>
    </row>
    <row r="2" spans="1:37" ht="15" customHeight="1" x14ac:dyDescent="0.25">
      <c r="A2" s="4"/>
      <c r="B2" s="17"/>
      <c r="C2" s="17"/>
      <c r="D2" s="17"/>
    </row>
    <row r="3" spans="1:37" ht="30" customHeight="1" x14ac:dyDescent="0.25">
      <c r="A3" s="3" t="s">
        <v>49</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3">
        <f>CalendarYear</f>
        <v>2025</v>
      </c>
    </row>
    <row r="4" spans="1:37" ht="15" customHeight="1" x14ac:dyDescent="0.25">
      <c r="A4" s="3"/>
      <c r="B4" s="3"/>
      <c r="C4" s="3"/>
      <c r="D4" s="3"/>
      <c r="E4" s="1" t="str">
        <f>TEXT(WEEKDAY(DATE(CalendarYear,6,1),1),"aaa")</f>
        <v>zo</v>
      </c>
      <c r="F4" s="1" t="str">
        <f>TEXT(WEEKDAY(DATE(CalendarYear,6,2),1),"aaa")</f>
        <v>ma</v>
      </c>
      <c r="G4" s="1" t="str">
        <f>TEXT(WEEKDAY(DATE(CalendarYear,6,3),1),"aaa")</f>
        <v>di</v>
      </c>
      <c r="H4" s="1" t="str">
        <f>TEXT(WEEKDAY(DATE(CalendarYear,6,4),1),"aaa")</f>
        <v>wo</v>
      </c>
      <c r="I4" s="1" t="str">
        <f>TEXT(WEEKDAY(DATE(CalendarYear,6,5),1),"aaa")</f>
        <v>do</v>
      </c>
      <c r="J4" s="1" t="str">
        <f>TEXT(WEEKDAY(DATE(CalendarYear,6,6),1),"aaa")</f>
        <v>vr</v>
      </c>
      <c r="K4" s="1" t="str">
        <f>TEXT(WEEKDAY(DATE(CalendarYear,6,7),1),"aaa")</f>
        <v>za</v>
      </c>
      <c r="L4" s="1" t="str">
        <f>TEXT(WEEKDAY(DATE(CalendarYear,6,8),1),"aaa")</f>
        <v>zo</v>
      </c>
      <c r="M4" s="1" t="str">
        <f>TEXT(WEEKDAY(DATE(CalendarYear,6,2),1),"aaa")</f>
        <v>ma</v>
      </c>
      <c r="N4" s="1" t="str">
        <f>TEXT(WEEKDAY(DATE(CalendarYear,6,3),1),"aaa")</f>
        <v>di</v>
      </c>
      <c r="O4" s="1" t="str">
        <f>TEXT(WEEKDAY(DATE(CalendarYear,6,4),1),"aaa")</f>
        <v>wo</v>
      </c>
      <c r="P4" s="1" t="str">
        <f>TEXT(WEEKDAY(DATE(CalendarYear,6,5),1),"aaa")</f>
        <v>do</v>
      </c>
      <c r="Q4" s="1" t="str">
        <f>TEXT(WEEKDAY(DATE(CalendarYear,6,6),1),"aaa")</f>
        <v>vr</v>
      </c>
      <c r="R4" s="1" t="str">
        <f>TEXT(WEEKDAY(DATE(CalendarYear,6,7),1),"aaa")</f>
        <v>za</v>
      </c>
      <c r="S4" s="1" t="str">
        <f>TEXT(WEEKDAY(DATE(CalendarYear,6,8),1),"aaa")</f>
        <v>zo</v>
      </c>
      <c r="T4" s="1" t="str">
        <f>TEXT(WEEKDAY(DATE(CalendarYear,6,2),1),"aaa")</f>
        <v>ma</v>
      </c>
      <c r="U4" s="1" t="str">
        <f>TEXT(WEEKDAY(DATE(CalendarYear,6,3),1),"aaa")</f>
        <v>di</v>
      </c>
      <c r="V4" s="1" t="str">
        <f>TEXT(WEEKDAY(DATE(CalendarYear,6,4),1),"aaa")</f>
        <v>wo</v>
      </c>
      <c r="W4" s="1" t="str">
        <f>TEXT(WEEKDAY(DATE(CalendarYear,6,5),1),"aaa")</f>
        <v>do</v>
      </c>
      <c r="X4" s="1" t="str">
        <f>TEXT(WEEKDAY(DATE(CalendarYear,6,6),1),"aaa")</f>
        <v>vr</v>
      </c>
      <c r="Y4" s="1" t="str">
        <f>TEXT(WEEKDAY(DATE(CalendarYear,6,7),1),"aaa")</f>
        <v>za</v>
      </c>
      <c r="Z4" s="1" t="str">
        <f>TEXT(WEEKDAY(DATE(CalendarYear,6,8),1),"aaa")</f>
        <v>zo</v>
      </c>
      <c r="AA4" s="1" t="str">
        <f>TEXT(WEEKDAY(DATE(CalendarYear,6,2),1),"aaa")</f>
        <v>ma</v>
      </c>
      <c r="AB4" s="1" t="str">
        <f>TEXT(WEEKDAY(DATE(CalendarYear,6,3),1),"aaa")</f>
        <v>di</v>
      </c>
      <c r="AC4" s="1" t="str">
        <f>TEXT(WEEKDAY(DATE(CalendarYear,6,4),1),"aaa")</f>
        <v>wo</v>
      </c>
      <c r="AD4" s="1" t="str">
        <f>TEXT(WEEKDAY(DATE(CalendarYear,6,5),1),"aaa")</f>
        <v>do</v>
      </c>
      <c r="AE4" s="1" t="str">
        <f>TEXT(WEEKDAY(DATE(CalendarYear,6,6),1),"aaa")</f>
        <v>vr</v>
      </c>
      <c r="AF4" s="1" t="str">
        <f>TEXT(WEEKDAY(DATE(CalendarYear,6,7),1),"aaa")</f>
        <v>za</v>
      </c>
      <c r="AG4" s="1" t="str">
        <f>TEXT(WEEKDAY(DATE(CalendarYear,6,8),1),"aaa")</f>
        <v>zo</v>
      </c>
      <c r="AH4" s="1" t="str">
        <f>TEXT(WEEKDAY(DATE(CalendarYear,6,2),1),"aaa")</f>
        <v>ma</v>
      </c>
      <c r="AI4" s="3"/>
      <c r="AJ4" s="11" t="s">
        <v>2</v>
      </c>
      <c r="AK4" s="3"/>
    </row>
    <row r="5" spans="1:37" ht="15" customHeight="1" x14ac:dyDescent="0.25">
      <c r="A5" s="5"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6" t="s">
        <v>38</v>
      </c>
      <c r="AJ5" s="11" t="s">
        <v>56</v>
      </c>
      <c r="AK5" s="9" t="s">
        <v>39</v>
      </c>
    </row>
    <row r="6" spans="1:37" ht="30" customHeight="1" x14ac:dyDescent="0.25">
      <c r="A6" t="s">
        <v>43</v>
      </c>
      <c r="B6" s="1">
        <v>286715</v>
      </c>
      <c r="C6" s="1">
        <v>288847</v>
      </c>
      <c r="D6" s="1" t="s">
        <v>61</v>
      </c>
      <c r="E6">
        <v>102</v>
      </c>
      <c r="J6">
        <v>99</v>
      </c>
      <c r="K6">
        <v>102</v>
      </c>
      <c r="L6">
        <v>115</v>
      </c>
      <c r="M6">
        <v>114</v>
      </c>
      <c r="Q6">
        <v>89</v>
      </c>
      <c r="R6">
        <v>102</v>
      </c>
      <c r="S6">
        <v>89</v>
      </c>
      <c r="X6">
        <v>99</v>
      </c>
      <c r="Y6">
        <v>105</v>
      </c>
      <c r="AI6" s="8">
        <f>SUM(Juni[[#This Row],[1]:[30]])</f>
        <v>1016</v>
      </c>
      <c r="AJ6" s="1">
        <f>Juni[[#This Row],[Totaal aantal km]]*0.4</f>
        <v>406.40000000000003</v>
      </c>
      <c r="AK6" s="10"/>
    </row>
    <row r="7" spans="1:37" ht="30" customHeight="1" x14ac:dyDescent="0.25">
      <c r="A7" t="s">
        <v>71</v>
      </c>
      <c r="B7" s="1">
        <v>155079</v>
      </c>
      <c r="C7" s="1">
        <v>156339</v>
      </c>
      <c r="D7" s="1" t="s">
        <v>72</v>
      </c>
      <c r="E7">
        <v>88</v>
      </c>
      <c r="K7">
        <v>92</v>
      </c>
      <c r="L7">
        <v>87</v>
      </c>
      <c r="M7">
        <v>92</v>
      </c>
      <c r="R7">
        <v>106</v>
      </c>
      <c r="S7">
        <v>103</v>
      </c>
      <c r="Y7">
        <v>110</v>
      </c>
      <c r="Z7">
        <v>98</v>
      </c>
      <c r="AE7">
        <v>99</v>
      </c>
      <c r="AF7">
        <v>89</v>
      </c>
      <c r="AG7">
        <v>105</v>
      </c>
      <c r="AI7" s="8">
        <f>SUM(Juni[[#This Row],[1]:[30]])</f>
        <v>1069</v>
      </c>
      <c r="AJ7" s="1">
        <f>Juni[[#This Row],[Totaal aantal km]]*0.4</f>
        <v>427.6</v>
      </c>
      <c r="AK7" s="10"/>
    </row>
    <row r="8" spans="1:37" ht="30" customHeight="1" x14ac:dyDescent="0.25">
      <c r="A8" t="s">
        <v>42</v>
      </c>
      <c r="B8" s="1">
        <v>136418</v>
      </c>
      <c r="C8" s="1">
        <v>138958</v>
      </c>
      <c r="D8" s="1" t="s">
        <v>63</v>
      </c>
      <c r="E8" s="1">
        <v>92</v>
      </c>
      <c r="F8" s="1"/>
      <c r="G8" s="1"/>
      <c r="H8" s="1">
        <v>125</v>
      </c>
      <c r="I8" s="1">
        <v>114</v>
      </c>
      <c r="J8" s="1">
        <v>92</v>
      </c>
      <c r="K8" s="1">
        <v>85</v>
      </c>
      <c r="L8" s="1">
        <v>78</v>
      </c>
      <c r="M8" s="1">
        <v>91</v>
      </c>
      <c r="N8" s="1"/>
      <c r="O8" s="1"/>
      <c r="P8" s="1"/>
      <c r="Q8" s="1"/>
      <c r="R8" s="1">
        <v>114</v>
      </c>
      <c r="S8" s="1">
        <v>109</v>
      </c>
      <c r="T8" s="1"/>
      <c r="U8" s="1"/>
      <c r="V8" s="1">
        <v>106</v>
      </c>
      <c r="W8" s="1">
        <v>115</v>
      </c>
      <c r="X8" s="1">
        <v>106</v>
      </c>
      <c r="Y8" s="1">
        <v>85</v>
      </c>
      <c r="Z8" s="1">
        <v>83</v>
      </c>
      <c r="AA8" s="1"/>
      <c r="AB8" s="1"/>
      <c r="AC8" s="1"/>
      <c r="AD8" s="1"/>
      <c r="AE8" s="1"/>
      <c r="AF8" s="1">
        <v>85</v>
      </c>
      <c r="AG8" s="1">
        <v>98</v>
      </c>
      <c r="AH8" s="1"/>
      <c r="AI8" s="2">
        <f>SUM(Juni[[#This Row],[1]:[30]])</f>
        <v>1578</v>
      </c>
      <c r="AJ8" s="1">
        <f>Juni[[#This Row],[Totaal aantal km]]*0.4</f>
        <v>631.20000000000005</v>
      </c>
      <c r="AK8" s="10"/>
    </row>
    <row r="9" spans="1:37" ht="30" customHeight="1" x14ac:dyDescent="0.25">
      <c r="A9" s="26" t="s">
        <v>40</v>
      </c>
      <c r="B9" s="1">
        <v>226149</v>
      </c>
      <c r="C9" s="1">
        <v>232392</v>
      </c>
      <c r="D9" s="1" t="s">
        <v>62</v>
      </c>
      <c r="E9" s="1">
        <v>110</v>
      </c>
      <c r="F9" s="1"/>
      <c r="G9" s="1"/>
      <c r="H9" s="1"/>
      <c r="I9" s="1"/>
      <c r="J9" s="1"/>
      <c r="K9" s="1">
        <v>114</v>
      </c>
      <c r="L9" s="1">
        <v>102</v>
      </c>
      <c r="M9" s="1"/>
      <c r="N9" s="1"/>
      <c r="O9" s="1"/>
      <c r="P9" s="1"/>
      <c r="Q9" s="1"/>
      <c r="R9" s="1"/>
      <c r="S9" s="1"/>
      <c r="T9" s="1"/>
      <c r="U9" s="1"/>
      <c r="V9" s="1"/>
      <c r="W9" s="1"/>
      <c r="X9" s="1"/>
      <c r="Y9" s="1"/>
      <c r="Z9" s="1"/>
      <c r="AA9" s="1"/>
      <c r="AB9" s="1"/>
      <c r="AC9" s="1"/>
      <c r="AD9" s="1"/>
      <c r="AE9" s="1"/>
      <c r="AF9" s="1"/>
      <c r="AG9" s="1"/>
      <c r="AH9" s="1"/>
      <c r="AI9" s="2">
        <f>SUM(Juni[[#This Row],[1]:[30]])</f>
        <v>326</v>
      </c>
      <c r="AJ9" s="1">
        <f>Juni[[#This Row],[Totaal aantal km]]*0.4</f>
        <v>130.4</v>
      </c>
      <c r="AK9" s="10"/>
    </row>
    <row r="10" spans="1:37" ht="30" customHeight="1" x14ac:dyDescent="0.25">
      <c r="A10" t="s">
        <v>41</v>
      </c>
      <c r="B10" s="1">
        <v>293757</v>
      </c>
      <c r="C10" s="1">
        <v>296400</v>
      </c>
      <c r="D10" s="1" t="s">
        <v>66</v>
      </c>
      <c r="E10">
        <v>98</v>
      </c>
      <c r="G10">
        <v>116</v>
      </c>
      <c r="J10">
        <v>98</v>
      </c>
      <c r="K10">
        <v>84</v>
      </c>
      <c r="L10">
        <v>80</v>
      </c>
      <c r="M10">
        <v>72</v>
      </c>
      <c r="Q10">
        <v>112</v>
      </c>
      <c r="S10">
        <v>116</v>
      </c>
      <c r="U10">
        <v>115</v>
      </c>
      <c r="V10">
        <v>108</v>
      </c>
      <c r="X10">
        <v>115</v>
      </c>
      <c r="Y10">
        <v>85</v>
      </c>
      <c r="Z10">
        <v>96</v>
      </c>
      <c r="AC10">
        <v>112</v>
      </c>
      <c r="AE10">
        <v>92</v>
      </c>
      <c r="AF10">
        <v>87</v>
      </c>
      <c r="AG10">
        <v>85</v>
      </c>
      <c r="AI10" s="8">
        <f>SUM(Juni[[#This Row],[1]:[30]])</f>
        <v>1671</v>
      </c>
      <c r="AJ10" s="1">
        <f>Juni[[#This Row],[Totaal aantal km]]*0.4</f>
        <v>668.40000000000009</v>
      </c>
      <c r="AK10" s="10"/>
    </row>
    <row r="11" spans="1:37" ht="30" customHeight="1" x14ac:dyDescent="0.25">
      <c r="A11" t="s">
        <v>67</v>
      </c>
      <c r="E11" s="1">
        <v>65</v>
      </c>
      <c r="F11" s="1"/>
      <c r="G11" s="1">
        <v>76</v>
      </c>
      <c r="H11" s="1">
        <v>91</v>
      </c>
      <c r="I11" s="1">
        <v>84</v>
      </c>
      <c r="J11" s="1">
        <v>78</v>
      </c>
      <c r="K11" s="1">
        <v>62</v>
      </c>
      <c r="L11" s="1">
        <v>45</v>
      </c>
      <c r="M11" s="1">
        <v>44</v>
      </c>
      <c r="N11" s="1">
        <v>56</v>
      </c>
      <c r="O11" s="1">
        <v>66</v>
      </c>
      <c r="P11" s="1">
        <v>71</v>
      </c>
      <c r="Q11" s="1">
        <v>79</v>
      </c>
      <c r="R11" s="1">
        <v>66</v>
      </c>
      <c r="S11" s="1">
        <v>78</v>
      </c>
      <c r="T11" s="1"/>
      <c r="U11" s="1">
        <v>68</v>
      </c>
      <c r="V11" s="1">
        <v>77</v>
      </c>
      <c r="W11" s="1">
        <v>83</v>
      </c>
      <c r="X11" s="1">
        <v>89</v>
      </c>
      <c r="Y11" s="1">
        <v>84</v>
      </c>
      <c r="Z11" s="1">
        <v>98</v>
      </c>
      <c r="AA11" s="1"/>
      <c r="AB11" s="1">
        <v>77</v>
      </c>
      <c r="AC11" s="1">
        <v>66</v>
      </c>
      <c r="AD11" s="1">
        <v>81</v>
      </c>
      <c r="AE11" s="1">
        <v>85</v>
      </c>
      <c r="AF11" s="1">
        <v>97</v>
      </c>
      <c r="AG11" s="1">
        <v>87</v>
      </c>
      <c r="AH11" s="1"/>
      <c r="AI11" s="2">
        <f>SUM(Juni[[#This Row],[1]:[30]])</f>
        <v>1953</v>
      </c>
      <c r="AJ11" s="1">
        <f>Juni[[#This Row],[Totaal aantal km]]*0.4</f>
        <v>781.2</v>
      </c>
      <c r="AK11" s="10"/>
    </row>
    <row r="12" spans="1:37" ht="30" customHeight="1" thickBot="1" x14ac:dyDescent="0.3">
      <c r="A12" s="12"/>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t="s">
        <v>57</v>
      </c>
      <c r="AJ12" s="16">
        <f>SUM(AJ6:AJ11)</f>
        <v>3045.2</v>
      </c>
      <c r="AK12" s="10"/>
    </row>
  </sheetData>
  <mergeCells count="1">
    <mergeCell ref="E3:AH3"/>
  </mergeCells>
  <phoneticPr fontId="18" type="noConversion"/>
  <conditionalFormatting sqref="E6:AH11">
    <cfRule type="expression" priority="1" stopIfTrue="1">
      <formula>E6=""</formula>
    </cfRule>
    <cfRule type="expression" dxfId="34" priority="2" stopIfTrue="1">
      <formula>E6=KeyCustom2</formula>
    </cfRule>
    <cfRule type="expression" dxfId="33" priority="3" stopIfTrue="1">
      <formula>E6=KeyCustom1</formula>
    </cfRule>
    <cfRule type="expression" dxfId="32" priority="4" stopIfTrue="1">
      <formula>E6=KeySick</formula>
    </cfRule>
    <cfRule type="expression" dxfId="31" priority="5" stopIfTrue="1">
      <formula>E6=KeyPersonal</formula>
    </cfRule>
    <cfRule type="expression" dxfId="30" priority="6" stopIfTrue="1">
      <formula>E6=KeyVacation</formula>
    </cfRule>
  </conditionalFormatting>
  <conditionalFormatting sqref="AI6:AI11">
    <cfRule type="dataBar" priority="476">
      <dataBar>
        <cfvo type="min"/>
        <cfvo type="formula" val="DATEDIF(DATE(CalendarYear,2,1),DATE(CalendarYear,3,1),&quot;d&quot;)"/>
        <color theme="2" tint="-0.249977111117893"/>
      </dataBar>
      <extLst>
        <ext xmlns:x14="http://schemas.microsoft.com/office/spreadsheetml/2009/9/main" uri="{B025F937-C7B1-47D3-B67F-A62EFF666E3E}">
          <x14:id>{5E94D469-7B22-408B-924D-8DC8A136AD3B}</x14:id>
        </ext>
      </extLst>
    </cfRule>
  </conditionalFormatting>
  <dataValidations count="7">
    <dataValidation allowBlank="1" showInputMessage="1" showErrorMessage="1" prompt="Weekdagen in deze rij worden automatisch bijgewerkt voor de maand, overeenkomstig het jaar in AH4. Elke dag van de maand is een kolom om het verzuim en type verzuim van een werknemer te noteren" sqref="E4" xr:uid="{00000000-0002-0000-0500-000000000000}"/>
    <dataValidation allowBlank="1" showInputMessage="1" showErrorMessage="1" prompt="Automatisch bijgewerkt jaar op basis van het jaar dat in het werkblad januari is ingevoerd" sqref="AI3" xr:uid="{00000000-0002-0000-0500-000001000000}"/>
    <dataValidation allowBlank="1" showInputMessage="1" showErrorMessage="1" prompt="Berekent automatisch het totaal aantal dagen die een werknemer in deze maand niet aanwezig was in deze kolom" sqref="AI5" xr:uid="{00000000-0002-0000-0500-000002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K5" xr:uid="{00000000-0002-0000-0500-000004000000}"/>
    <dataValidation allowBlank="1" showInputMessage="1" showErrorMessage="1" prompt="De titel wordt automatisch bijgewerkt in deze cel. Als u de titel wilt wijzigen, werk B1 in het januari-werkblad bij" sqref="A1:D1" xr:uid="{00000000-0002-0000-0500-000005000000}"/>
    <dataValidation allowBlank="1" showInputMessage="1" showErrorMessage="1" prompt="De naam van de maand voor dit verzuimschema bevindt zich in deze cel. De absentietotalen voor deze maand staan in de laatste cel van de tabel. Namen van werknemers selecteren in tabelkolom B" sqref="A3:D3 AK4" xr:uid="{00000000-0002-0000-0500-00000C000000}"/>
    <dataValidation allowBlank="1" showInputMessage="1" showErrorMessage="1" prompt="De dagen van de maand in deze rij worden automatisch gegenereerd. Voer voor elke dag van de maand in elke kolom het verzuim en het type verzuim van een werknemer in. Leeg betekent geen verzuim" sqref="E5" xr:uid="{00000000-0002-0000-0500-00000D000000}"/>
  </dataValidations>
  <printOptions horizontalCentered="1"/>
  <pageMargins left="0.25" right="0.25" top="0.75" bottom="0.75" header="0.3" footer="0.3"/>
  <pageSetup paperSize="9" scale="59"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E94D469-7B22-408B-924D-8DC8A136AD3B}">
            <x14:dataBar minLength="0" maxLength="100">
              <x14:cfvo type="autoMin"/>
              <x14:cfvo type="formula">
                <xm:f>DATEDIF(DATE(CalendarYear,2,1),DATE(CalendarYear,3,1),"d")</xm:f>
              </x14:cfvo>
              <x14:negativeFillColor rgb="FFFF0000"/>
              <x14:axisColor rgb="FF000000"/>
            </x14:dataBar>
          </x14:cfRule>
          <xm:sqref>AI6:AI11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tabColor theme="1"/>
    <pageSetUpPr fitToPage="1"/>
  </sheetPr>
  <dimension ref="A1:AL10"/>
  <sheetViews>
    <sheetView showGridLines="0" zoomScaleNormal="100" workbookViewId="0">
      <selection activeCell="C8" sqref="C8"/>
    </sheetView>
  </sheetViews>
  <sheetFormatPr defaultRowHeight="30" customHeight="1" x14ac:dyDescent="0.25"/>
  <cols>
    <col min="1" max="1" width="21.140625" customWidth="1"/>
    <col min="2" max="2" width="15.85546875" style="1" bestFit="1" customWidth="1"/>
    <col min="3" max="3" width="14.7109375" style="1" bestFit="1" customWidth="1"/>
    <col min="4" max="4" width="13.42578125" style="1" bestFit="1" customWidth="1"/>
    <col min="5" max="35" width="4.28515625" customWidth="1"/>
    <col min="36" max="36" width="15.5703125" bestFit="1" customWidth="1"/>
    <col min="37" max="37" width="14.85546875" bestFit="1" customWidth="1"/>
    <col min="38" max="38" width="16.7109375" bestFit="1" customWidth="1"/>
  </cols>
  <sheetData>
    <row r="1" spans="1:38" ht="50.1" customHeight="1" x14ac:dyDescent="0.25">
      <c r="A1" s="4" t="str">
        <f>Employee_Absence_Title</f>
        <v>Kilometer werknemers</v>
      </c>
      <c r="B1" s="17"/>
      <c r="C1" s="17"/>
      <c r="D1" s="17"/>
    </row>
    <row r="2" spans="1:38" ht="15" customHeight="1" x14ac:dyDescent="0.25">
      <c r="A2" s="4"/>
      <c r="B2" s="17"/>
      <c r="C2" s="17"/>
      <c r="D2" s="17"/>
    </row>
    <row r="3" spans="1:38" ht="30" customHeight="1" x14ac:dyDescent="0.25">
      <c r="A3" s="3" t="s">
        <v>50</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3">
        <f>CalendarYear</f>
        <v>2025</v>
      </c>
    </row>
    <row r="4" spans="1:38" ht="15" customHeight="1" x14ac:dyDescent="0.25">
      <c r="A4" s="3"/>
      <c r="B4" s="3"/>
      <c r="C4" s="3"/>
      <c r="D4" s="3"/>
      <c r="E4" s="1" t="str">
        <f>TEXT(WEEKDAY(DATE(CalendarYear,7,1),1),"aaa")</f>
        <v>di</v>
      </c>
      <c r="F4" s="1" t="str">
        <f>TEXT(WEEKDAY(DATE(CalendarYear,7,2),1),"aaa")</f>
        <v>wo</v>
      </c>
      <c r="G4" s="1" t="str">
        <f>TEXT(WEEKDAY(DATE(CalendarYear,7,3),1),"aaa")</f>
        <v>do</v>
      </c>
      <c r="H4" s="1" t="str">
        <f>TEXT(WEEKDAY(DATE(CalendarYear,7,4),1),"aaa")</f>
        <v>vr</v>
      </c>
      <c r="I4" s="1" t="str">
        <f>TEXT(WEEKDAY(DATE(CalendarYear,7,5),1),"aaa")</f>
        <v>za</v>
      </c>
      <c r="J4" s="1" t="str">
        <f>TEXT(WEEKDAY(DATE(CalendarYear,7,6),1),"aaa")</f>
        <v>zo</v>
      </c>
      <c r="K4" s="1" t="str">
        <f>TEXT(WEEKDAY(DATE(CalendarYear,7,7),1),"aaa")</f>
        <v>ma</v>
      </c>
      <c r="L4" s="1" t="str">
        <f>TEXT(WEEKDAY(DATE(CalendarYear,7,1),1),"aaa")</f>
        <v>di</v>
      </c>
      <c r="M4" s="1" t="str">
        <f>TEXT(WEEKDAY(DATE(CalendarYear,7,2),1),"aaa")</f>
        <v>wo</v>
      </c>
      <c r="N4" s="1" t="str">
        <f>TEXT(WEEKDAY(DATE(CalendarYear,7,3),1),"aaa")</f>
        <v>do</v>
      </c>
      <c r="O4" s="1" t="str">
        <f>TEXT(WEEKDAY(DATE(CalendarYear,7,4),1),"aaa")</f>
        <v>vr</v>
      </c>
      <c r="P4" s="1" t="str">
        <f>TEXT(WEEKDAY(DATE(CalendarYear,7,5),1),"aaa")</f>
        <v>za</v>
      </c>
      <c r="Q4" s="1" t="str">
        <f>TEXT(WEEKDAY(DATE(CalendarYear,7,6),1),"aaa")</f>
        <v>zo</v>
      </c>
      <c r="R4" s="1" t="str">
        <f>TEXT(WEEKDAY(DATE(CalendarYear,7,7),1),"aaa")</f>
        <v>ma</v>
      </c>
      <c r="S4" s="1" t="str">
        <f>TEXT(WEEKDAY(DATE(CalendarYear,7,1),1),"aaa")</f>
        <v>di</v>
      </c>
      <c r="T4" s="1" t="str">
        <f>TEXT(WEEKDAY(DATE(CalendarYear,7,2),1),"aaa")</f>
        <v>wo</v>
      </c>
      <c r="U4" s="1" t="str">
        <f>TEXT(WEEKDAY(DATE(CalendarYear,7,3),1),"aaa")</f>
        <v>do</v>
      </c>
      <c r="V4" s="1" t="str">
        <f>TEXT(WEEKDAY(DATE(CalendarYear,7,4),1),"aaa")</f>
        <v>vr</v>
      </c>
      <c r="W4" s="1" t="str">
        <f>TEXT(WEEKDAY(DATE(CalendarYear,7,5),1),"aaa")</f>
        <v>za</v>
      </c>
      <c r="X4" s="1" t="str">
        <f>TEXT(WEEKDAY(DATE(CalendarYear,7,6),1),"aaa")</f>
        <v>zo</v>
      </c>
      <c r="Y4" s="1" t="str">
        <f>TEXT(WEEKDAY(DATE(CalendarYear,7,7),1),"aaa")</f>
        <v>ma</v>
      </c>
      <c r="Z4" s="1" t="str">
        <f>TEXT(WEEKDAY(DATE(CalendarYear,7,1),1),"aaa")</f>
        <v>di</v>
      </c>
      <c r="AA4" s="1" t="str">
        <f>TEXT(WEEKDAY(DATE(CalendarYear,7,2),1),"aaa")</f>
        <v>wo</v>
      </c>
      <c r="AB4" s="1" t="str">
        <f>TEXT(WEEKDAY(DATE(CalendarYear,7,3),1),"aaa")</f>
        <v>do</v>
      </c>
      <c r="AC4" s="1" t="str">
        <f>TEXT(WEEKDAY(DATE(CalendarYear,7,4),1),"aaa")</f>
        <v>vr</v>
      </c>
      <c r="AD4" s="1" t="str">
        <f>TEXT(WEEKDAY(DATE(CalendarYear,7,5),1),"aaa")</f>
        <v>za</v>
      </c>
      <c r="AE4" s="1" t="str">
        <f>TEXT(WEEKDAY(DATE(CalendarYear,7,6),1),"aaa")</f>
        <v>zo</v>
      </c>
      <c r="AF4" s="1" t="str">
        <f>TEXT(WEEKDAY(DATE(CalendarYear,7,7),1),"aaa")</f>
        <v>ma</v>
      </c>
      <c r="AG4" s="1" t="str">
        <f>TEXT(WEEKDAY(DATE(CalendarYear,7,1),1),"aaa")</f>
        <v>di</v>
      </c>
      <c r="AH4" s="1" t="str">
        <f>TEXT(WEEKDAY(DATE(CalendarYear,7,2),1),"aaa")</f>
        <v>wo</v>
      </c>
      <c r="AI4" s="1" t="str">
        <f>TEXT(WEEKDAY(DATE(CalendarYear,7,3),1),"aaa")</f>
        <v>do</v>
      </c>
      <c r="AJ4" s="3"/>
      <c r="AK4" s="11" t="s">
        <v>2</v>
      </c>
      <c r="AL4" s="3"/>
    </row>
    <row r="5" spans="1:38" ht="15" customHeight="1" x14ac:dyDescent="0.25">
      <c r="A5" s="5"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1" t="s">
        <v>37</v>
      </c>
      <c r="AJ5" s="6" t="s">
        <v>38</v>
      </c>
      <c r="AK5" s="11" t="s">
        <v>56</v>
      </c>
      <c r="AL5" s="9" t="s">
        <v>39</v>
      </c>
    </row>
    <row r="6" spans="1:38" ht="30" customHeight="1" x14ac:dyDescent="0.25">
      <c r="A6" t="s">
        <v>71</v>
      </c>
      <c r="B6" s="1">
        <v>288847</v>
      </c>
      <c r="C6" s="1">
        <v>289155</v>
      </c>
      <c r="D6" s="1" t="s">
        <v>72</v>
      </c>
      <c r="H6">
        <v>85</v>
      </c>
      <c r="I6">
        <v>87</v>
      </c>
      <c r="J6">
        <v>83</v>
      </c>
      <c r="AJ6" s="8">
        <f>SUM(Juli[[#This Row],[1]:[31]])</f>
        <v>255</v>
      </c>
      <c r="AK6" s="1">
        <f>Juli[[#This Row],[Totaal aantal km]]*0.4</f>
        <v>102</v>
      </c>
      <c r="AL6" s="10"/>
    </row>
    <row r="7" spans="1:38" ht="30" customHeight="1" x14ac:dyDescent="0.25">
      <c r="A7" t="s">
        <v>42</v>
      </c>
      <c r="B7" s="1">
        <v>138958</v>
      </c>
      <c r="C7" s="1">
        <v>140005</v>
      </c>
      <c r="D7" s="1" t="s">
        <v>63</v>
      </c>
      <c r="E7" s="1"/>
      <c r="F7" s="1">
        <v>114</v>
      </c>
      <c r="G7" s="1">
        <v>126</v>
      </c>
      <c r="H7" s="1">
        <v>71</v>
      </c>
      <c r="I7" s="1">
        <v>82</v>
      </c>
      <c r="J7" s="1">
        <v>99</v>
      </c>
      <c r="K7" s="1"/>
      <c r="L7" s="1"/>
      <c r="M7" s="1"/>
      <c r="N7" s="1"/>
      <c r="O7" s="1"/>
      <c r="P7" s="1"/>
      <c r="Q7" s="1"/>
      <c r="R7" s="1"/>
      <c r="S7" s="1"/>
      <c r="T7" s="1"/>
      <c r="U7" s="1"/>
      <c r="V7" s="1"/>
      <c r="W7" s="1"/>
      <c r="X7" s="1"/>
      <c r="Y7" s="1"/>
      <c r="Z7" s="1"/>
      <c r="AA7" s="1"/>
      <c r="AB7" s="1"/>
      <c r="AC7" s="1"/>
      <c r="AD7" s="1"/>
      <c r="AE7" s="1"/>
      <c r="AF7" s="1"/>
      <c r="AG7" s="1"/>
      <c r="AH7" s="1"/>
      <c r="AI7" s="1"/>
      <c r="AJ7" s="2">
        <f>SUM(Juli[[#This Row],[1]:[31]])</f>
        <v>492</v>
      </c>
      <c r="AK7" s="1">
        <f>Juli[[#This Row],[Totaal aantal km]]*0.4</f>
        <v>196.8</v>
      </c>
      <c r="AL7" s="10"/>
    </row>
    <row r="8" spans="1:38" ht="30" customHeight="1" x14ac:dyDescent="0.25">
      <c r="A8" t="s">
        <v>41</v>
      </c>
      <c r="B8" s="1">
        <v>296400</v>
      </c>
      <c r="C8" s="1">
        <v>297125</v>
      </c>
      <c r="D8" s="1" t="s">
        <v>66</v>
      </c>
      <c r="E8">
        <v>104</v>
      </c>
      <c r="F8">
        <v>109</v>
      </c>
      <c r="H8">
        <v>95</v>
      </c>
      <c r="J8">
        <v>98</v>
      </c>
      <c r="AJ8" s="8">
        <f>SUM(Juli[[#This Row],[1]:[31]])</f>
        <v>406</v>
      </c>
      <c r="AK8" s="1">
        <f>Juli[[#This Row],[Totaal aantal km]]*0.4</f>
        <v>162.4</v>
      </c>
      <c r="AL8" s="10"/>
    </row>
    <row r="9" spans="1:38" ht="30" customHeight="1" x14ac:dyDescent="0.25">
      <c r="A9" t="s">
        <v>67</v>
      </c>
      <c r="E9" s="1">
        <v>66</v>
      </c>
      <c r="F9" s="1">
        <v>76</v>
      </c>
      <c r="G9" s="1">
        <v>71</v>
      </c>
      <c r="H9" s="1">
        <v>85</v>
      </c>
      <c r="I9" s="1">
        <v>75</v>
      </c>
      <c r="J9" s="1">
        <v>88</v>
      </c>
      <c r="K9" s="1"/>
      <c r="L9" s="1"/>
      <c r="M9" s="1"/>
      <c r="N9" s="1"/>
      <c r="O9" s="1"/>
      <c r="P9" s="1"/>
      <c r="Q9" s="1"/>
      <c r="R9" s="1"/>
      <c r="S9" s="1"/>
      <c r="T9" s="1"/>
      <c r="U9" s="1"/>
      <c r="V9" s="1"/>
      <c r="W9" s="1"/>
      <c r="X9" s="1"/>
      <c r="Y9" s="1"/>
      <c r="Z9" s="1"/>
      <c r="AA9" s="1"/>
      <c r="AB9" s="1"/>
      <c r="AC9" s="1"/>
      <c r="AD9" s="1"/>
      <c r="AE9" s="1"/>
      <c r="AF9" s="1"/>
      <c r="AG9" s="1"/>
      <c r="AH9" s="1"/>
      <c r="AI9" s="1"/>
      <c r="AJ9" s="2">
        <f>SUM(Juli[[#This Row],[1]:[31]])</f>
        <v>461</v>
      </c>
      <c r="AK9" s="1">
        <f>Juli[[#This Row],[Totaal aantal km]]*0.4</f>
        <v>184.4</v>
      </c>
      <c r="AL9" s="10"/>
    </row>
    <row r="10" spans="1:38" ht="30" customHeight="1" thickBot="1" x14ac:dyDescent="0.3">
      <c r="A10" s="12"/>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t="s">
        <v>57</v>
      </c>
      <c r="AK10" s="16">
        <f>SUM(AK6:AK9)</f>
        <v>645.6</v>
      </c>
      <c r="AL10" s="10"/>
    </row>
  </sheetData>
  <mergeCells count="1">
    <mergeCell ref="E3:AI3"/>
  </mergeCells>
  <phoneticPr fontId="18" type="noConversion"/>
  <conditionalFormatting sqref="E6:AI9">
    <cfRule type="expression" priority="1" stopIfTrue="1">
      <formula>E6=""</formula>
    </cfRule>
    <cfRule type="expression" dxfId="29" priority="2" stopIfTrue="1">
      <formula>E6=KeyCustom2</formula>
    </cfRule>
    <cfRule type="expression" dxfId="28" priority="3" stopIfTrue="1">
      <formula>E6=KeyCustom1</formula>
    </cfRule>
    <cfRule type="expression" dxfId="27" priority="4" stopIfTrue="1">
      <formula>E6=KeySick</formula>
    </cfRule>
    <cfRule type="expression" dxfId="26" priority="5" stopIfTrue="1">
      <formula>E6=KeyPersonal</formula>
    </cfRule>
    <cfRule type="expression" dxfId="25" priority="6" stopIfTrue="1">
      <formula>E6=KeyVacation</formula>
    </cfRule>
  </conditionalFormatting>
  <conditionalFormatting sqref="AJ6:AJ9">
    <cfRule type="dataBar" priority="509">
      <dataBar>
        <cfvo type="min"/>
        <cfvo type="formula" val="DATEDIF(DATE(CalendarYear,2,1),DATE(CalendarYear,3,1),&quot;d&quot;)"/>
        <color theme="2" tint="-0.249977111117893"/>
      </dataBar>
      <extLst>
        <ext xmlns:x14="http://schemas.microsoft.com/office/spreadsheetml/2009/9/main" uri="{B025F937-C7B1-47D3-B67F-A62EFF666E3E}">
          <x14:id>{E0DCF129-9B2A-4CEB-9E56-27607F4BED20}</x14:id>
        </ext>
      </extLst>
    </cfRule>
  </conditionalFormatting>
  <dataValidations count="7">
    <dataValidation allowBlank="1" showInputMessage="1" showErrorMessage="1" prompt="De dagen van de maand in deze rij worden automatisch gegenereerd. Voer voor elke dag van de maand in elke kolom het verzuim en het type verzuim van een werknemer in. Leeg betekent geen verzuim" sqref="E5" xr:uid="{00000000-0002-0000-0600-000000000000}"/>
    <dataValidation allowBlank="1" showInputMessage="1" showErrorMessage="1" prompt="De naam van de maand voor dit verzuimschema bevindt zich in deze cel. De absentietotalen voor deze maand staan in de laatste cel van de tabel. Namen van werknemers selecteren in tabelkolom B" sqref="A3:D3 AL4" xr:uid="{00000000-0002-0000-0600-000001000000}"/>
    <dataValidation allowBlank="1" showInputMessage="1" showErrorMessage="1" prompt="De titel wordt automatisch bijgewerkt in deze cel. Als u de titel wilt wijzigen, werk B1 in het januari-werkblad bij" sqref="A1:D1" xr:uid="{00000000-0002-0000-0600-000008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L5" xr:uid="{00000000-0002-0000-0600-000009000000}"/>
    <dataValidation allowBlank="1" showInputMessage="1" showErrorMessage="1" prompt="Berekent automatisch het totaal aantal dagen die een werknemer in deze maand niet aanwezig was in deze kolom" sqref="AJ5" xr:uid="{00000000-0002-0000-0600-00000B000000}"/>
    <dataValidation allowBlank="1" showInputMessage="1" showErrorMessage="1" prompt="Automatisch bijgewerkt jaar op basis van het jaar dat in het werkblad januari is ingevoerd" sqref="AJ3" xr:uid="{00000000-0002-0000-0600-00000C000000}"/>
    <dataValidation allowBlank="1" showInputMessage="1" showErrorMessage="1" prompt="Weekdagen in deze rij worden automatisch bijgewerkt voor de maand, overeenkomstig het jaar in AH4. Elke dag van de maand is een kolom om het verzuim en type verzuim van een werknemer te noteren" sqref="E4 L4 S4 Z4 AG4" xr:uid="{00000000-0002-0000-0600-00000D000000}"/>
  </dataValidations>
  <printOptions horizontalCentered="1"/>
  <pageMargins left="0.25" right="0.25" top="0.75" bottom="0.75" header="0.3" footer="0.3"/>
  <pageSetup paperSize="9" scale="58"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0DCF129-9B2A-4CEB-9E56-27607F4BED20}">
            <x14:dataBar minLength="0" maxLength="100">
              <x14:cfvo type="autoMin"/>
              <x14:cfvo type="formula">
                <xm:f>DATEDIF(DATE(CalendarYear,2,1),DATE(CalendarYear,3,1),"d")</xm:f>
              </x14:cfvo>
              <x14:negativeFillColor rgb="FFFF0000"/>
              <x14:axisColor rgb="FF000000"/>
            </x14:dataBar>
          </x14:cfRule>
          <xm:sqref>AJ6:AJ9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tabColor theme="2" tint="-0.749992370372631"/>
    <pageSetUpPr fitToPage="1"/>
  </sheetPr>
  <dimension ref="A1:AL10"/>
  <sheetViews>
    <sheetView showGridLines="0" zoomScaleNormal="100" workbookViewId="0">
      <selection activeCell="C6" sqref="C6"/>
    </sheetView>
  </sheetViews>
  <sheetFormatPr defaultRowHeight="30" customHeight="1" x14ac:dyDescent="0.25"/>
  <cols>
    <col min="1" max="1" width="21.28515625" customWidth="1"/>
    <col min="2" max="2" width="15.85546875" style="1" bestFit="1" customWidth="1"/>
    <col min="3" max="3" width="14.7109375" style="1" bestFit="1" customWidth="1"/>
    <col min="4" max="4" width="13.42578125" style="1" bestFit="1" customWidth="1"/>
    <col min="5" max="35" width="4.28515625" customWidth="1"/>
    <col min="36" max="36" width="15.5703125" bestFit="1" customWidth="1"/>
    <col min="37" max="37" width="14.85546875" bestFit="1" customWidth="1"/>
    <col min="38" max="38" width="16.7109375" bestFit="1" customWidth="1"/>
  </cols>
  <sheetData>
    <row r="1" spans="1:38" ht="50.1" customHeight="1" x14ac:dyDescent="0.25">
      <c r="A1" s="4" t="str">
        <f>Employee_Absence_Title</f>
        <v>Kilometer werknemers</v>
      </c>
      <c r="B1" s="17"/>
      <c r="C1" s="17"/>
      <c r="D1" s="17"/>
    </row>
    <row r="2" spans="1:38" ht="15" customHeight="1" x14ac:dyDescent="0.25">
      <c r="A2" s="4"/>
      <c r="B2" s="17"/>
      <c r="C2" s="17"/>
      <c r="D2" s="17"/>
    </row>
    <row r="3" spans="1:38" ht="30" customHeight="1" x14ac:dyDescent="0.25">
      <c r="A3" s="3" t="s">
        <v>51</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3">
        <f>CalendarYear</f>
        <v>2025</v>
      </c>
    </row>
    <row r="4" spans="1:38" ht="15" customHeight="1" x14ac:dyDescent="0.25">
      <c r="A4" s="3"/>
      <c r="B4" s="3"/>
      <c r="C4" s="3"/>
      <c r="D4" s="3"/>
      <c r="E4" s="1" t="str">
        <f>TEXT(WEEKDAY(DATE(CalendarYear,8,1),1),"aaa")</f>
        <v>vr</v>
      </c>
      <c r="F4" s="1" t="str">
        <f>TEXT(WEEKDAY(DATE(CalendarYear,8,2),1),"aaa")</f>
        <v>za</v>
      </c>
      <c r="G4" s="1" t="str">
        <f>TEXT(WEEKDAY(DATE(CalendarYear,8,3),1),"aaa")</f>
        <v>zo</v>
      </c>
      <c r="H4" s="1" t="str">
        <f>TEXT(WEEKDAY(DATE(CalendarYear,8,4),1),"aaa")</f>
        <v>ma</v>
      </c>
      <c r="I4" s="1" t="str">
        <f>TEXT(WEEKDAY(DATE(CalendarYear,8,5),1),"aaa")</f>
        <v>di</v>
      </c>
      <c r="J4" s="1" t="str">
        <f>TEXT(WEEKDAY(DATE(CalendarYear,8,6),1),"aaa")</f>
        <v>wo</v>
      </c>
      <c r="K4" s="1" t="str">
        <f>TEXT(WEEKDAY(DATE(CalendarYear,8,7),1),"aaa")</f>
        <v>do</v>
      </c>
      <c r="L4" s="1" t="str">
        <f>TEXT(WEEKDAY(DATE(CalendarYear,8,1),1),"aaa")</f>
        <v>vr</v>
      </c>
      <c r="M4" s="1" t="str">
        <f>TEXT(WEEKDAY(DATE(CalendarYear,8,2),1),"aaa")</f>
        <v>za</v>
      </c>
      <c r="N4" s="1" t="str">
        <f>TEXT(WEEKDAY(DATE(CalendarYear,8,3),1),"aaa")</f>
        <v>zo</v>
      </c>
      <c r="O4" s="1" t="str">
        <f>TEXT(WEEKDAY(DATE(CalendarYear,8,4),1),"aaa")</f>
        <v>ma</v>
      </c>
      <c r="P4" s="1" t="str">
        <f>TEXT(WEEKDAY(DATE(CalendarYear,8,5),1),"aaa")</f>
        <v>di</v>
      </c>
      <c r="Q4" s="1" t="str">
        <f>TEXT(WEEKDAY(DATE(CalendarYear,8,6),1),"aaa")</f>
        <v>wo</v>
      </c>
      <c r="R4" s="1" t="str">
        <f>TEXT(WEEKDAY(DATE(CalendarYear,8,7),1),"aaa")</f>
        <v>do</v>
      </c>
      <c r="S4" s="1" t="str">
        <f>TEXT(WEEKDAY(DATE(CalendarYear,8,1),1),"aaa")</f>
        <v>vr</v>
      </c>
      <c r="T4" s="1" t="str">
        <f>TEXT(WEEKDAY(DATE(CalendarYear,8,2),1),"aaa")</f>
        <v>za</v>
      </c>
      <c r="U4" s="1" t="str">
        <f>TEXT(WEEKDAY(DATE(CalendarYear,8,3),1),"aaa")</f>
        <v>zo</v>
      </c>
      <c r="V4" s="1" t="str">
        <f>TEXT(WEEKDAY(DATE(CalendarYear,8,4),1),"aaa")</f>
        <v>ma</v>
      </c>
      <c r="W4" s="1" t="str">
        <f>TEXT(WEEKDAY(DATE(CalendarYear,8,5),1),"aaa")</f>
        <v>di</v>
      </c>
      <c r="X4" s="1" t="str">
        <f>TEXT(WEEKDAY(DATE(CalendarYear,8,6),1),"aaa")</f>
        <v>wo</v>
      </c>
      <c r="Y4" s="1" t="str">
        <f>TEXT(WEEKDAY(DATE(CalendarYear,8,7),1),"aaa")</f>
        <v>do</v>
      </c>
      <c r="Z4" s="1" t="str">
        <f>TEXT(WEEKDAY(DATE(CalendarYear,8,1),1),"aaa")</f>
        <v>vr</v>
      </c>
      <c r="AA4" s="1" t="str">
        <f>TEXT(WEEKDAY(DATE(CalendarYear,8,2),1),"aaa")</f>
        <v>za</v>
      </c>
      <c r="AB4" s="1" t="str">
        <f>TEXT(WEEKDAY(DATE(CalendarYear,8,3),1),"aaa")</f>
        <v>zo</v>
      </c>
      <c r="AC4" s="1" t="str">
        <f>TEXT(WEEKDAY(DATE(CalendarYear,8,4),1),"aaa")</f>
        <v>ma</v>
      </c>
      <c r="AD4" s="1" t="str">
        <f>TEXT(WEEKDAY(DATE(CalendarYear,8,5),1),"aaa")</f>
        <v>di</v>
      </c>
      <c r="AE4" s="1" t="str">
        <f>TEXT(WEEKDAY(DATE(CalendarYear,8,6),1),"aaa")</f>
        <v>wo</v>
      </c>
      <c r="AF4" s="1" t="str">
        <f>TEXT(WEEKDAY(DATE(CalendarYear,8,7),1),"aaa")</f>
        <v>do</v>
      </c>
      <c r="AG4" s="1" t="str">
        <f>TEXT(WEEKDAY(DATE(CalendarYear,8,1),1),"aaa")</f>
        <v>vr</v>
      </c>
      <c r="AH4" s="1" t="str">
        <f>TEXT(WEEKDAY(DATE(CalendarYear,8,2),1),"aaa")</f>
        <v>za</v>
      </c>
      <c r="AI4" s="1" t="str">
        <f>TEXT(WEEKDAY(DATE(CalendarYear,8,3),1),"aaa")</f>
        <v>zo</v>
      </c>
      <c r="AJ4" s="3"/>
      <c r="AK4" s="11" t="s">
        <v>2</v>
      </c>
      <c r="AL4" s="3"/>
    </row>
    <row r="5" spans="1:38" ht="15" customHeight="1" x14ac:dyDescent="0.25">
      <c r="A5" s="5"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1" t="s">
        <v>37</v>
      </c>
      <c r="AJ5" s="6" t="s">
        <v>38</v>
      </c>
      <c r="AK5" s="11" t="s">
        <v>56</v>
      </c>
      <c r="AL5" s="9" t="s">
        <v>39</v>
      </c>
    </row>
    <row r="6" spans="1:38" ht="30" customHeight="1" x14ac:dyDescent="0.25">
      <c r="A6" t="s">
        <v>42</v>
      </c>
      <c r="B6" s="1">
        <v>140520</v>
      </c>
      <c r="C6" s="1">
        <v>140985</v>
      </c>
      <c r="D6" s="1" t="s">
        <v>63</v>
      </c>
      <c r="E6" s="1"/>
      <c r="F6" s="1"/>
      <c r="G6" s="1"/>
      <c r="H6" s="1"/>
      <c r="I6" s="1"/>
      <c r="J6" s="1"/>
      <c r="K6" s="1"/>
      <c r="L6" s="1"/>
      <c r="M6" s="1"/>
      <c r="N6" s="1"/>
      <c r="O6" s="1"/>
      <c r="P6" s="1"/>
      <c r="Q6" s="1"/>
      <c r="R6" s="1"/>
      <c r="S6" s="1"/>
      <c r="T6" s="1"/>
      <c r="U6" s="1"/>
      <c r="V6" s="1"/>
      <c r="W6" s="1"/>
      <c r="X6" s="1"/>
      <c r="Y6" s="1"/>
      <c r="Z6" s="1"/>
      <c r="AA6" s="1"/>
      <c r="AB6" s="1"/>
      <c r="AC6" s="1"/>
      <c r="AD6" s="1"/>
      <c r="AE6" s="1"/>
      <c r="AF6" s="1"/>
      <c r="AG6" s="1">
        <v>95</v>
      </c>
      <c r="AH6" s="1">
        <v>92</v>
      </c>
      <c r="AI6" s="1">
        <v>78</v>
      </c>
      <c r="AJ6" s="2">
        <f>SUM(Augustus[[#This Row],[1]:[31]])</f>
        <v>265</v>
      </c>
      <c r="AK6" s="1">
        <f>Augustus[[#This Row],[Totaal aantal km]]*0.4</f>
        <v>106</v>
      </c>
      <c r="AL6" s="10"/>
    </row>
    <row r="7" spans="1:38" ht="30" customHeight="1" x14ac:dyDescent="0.25">
      <c r="A7" t="s">
        <v>43</v>
      </c>
      <c r="B7" s="1">
        <v>289157</v>
      </c>
      <c r="C7" s="1">
        <v>290397</v>
      </c>
      <c r="D7" s="1" t="s">
        <v>61</v>
      </c>
      <c r="E7" s="1"/>
      <c r="F7" s="1"/>
      <c r="G7" s="1"/>
      <c r="H7" s="1"/>
      <c r="I7" s="1"/>
      <c r="J7" s="1"/>
      <c r="K7" s="1"/>
      <c r="L7" s="1"/>
      <c r="M7" s="1"/>
      <c r="N7" s="1"/>
      <c r="O7" s="1"/>
      <c r="P7" s="1"/>
      <c r="Q7" s="1"/>
      <c r="R7" s="1"/>
      <c r="S7" s="1"/>
      <c r="T7" s="1"/>
      <c r="U7" s="1"/>
      <c r="V7" s="1"/>
      <c r="W7" s="1"/>
      <c r="X7" s="1"/>
      <c r="Y7" s="1"/>
      <c r="Z7" s="1"/>
      <c r="AA7" s="1"/>
      <c r="AB7" s="1"/>
      <c r="AC7" s="1"/>
      <c r="AD7" s="1"/>
      <c r="AE7" s="1"/>
      <c r="AF7" s="1"/>
      <c r="AG7" s="1">
        <v>84</v>
      </c>
      <c r="AH7" s="1">
        <v>82</v>
      </c>
      <c r="AI7" s="1">
        <v>102</v>
      </c>
      <c r="AJ7" s="2">
        <f>SUM(Augustus[[#This Row],[1]:[31]])</f>
        <v>268</v>
      </c>
      <c r="AK7" s="1"/>
      <c r="AL7" s="10"/>
    </row>
    <row r="8" spans="1:38" ht="30" customHeight="1" x14ac:dyDescent="0.25">
      <c r="A8" t="s">
        <v>71</v>
      </c>
      <c r="B8" s="1">
        <v>156252</v>
      </c>
      <c r="C8" s="1">
        <v>157101</v>
      </c>
      <c r="D8" s="1" t="s">
        <v>72</v>
      </c>
      <c r="AG8">
        <v>98</v>
      </c>
      <c r="AH8">
        <v>92</v>
      </c>
      <c r="AI8">
        <v>87</v>
      </c>
      <c r="AJ8" s="8">
        <f>SUM(Augustus[[#This Row],[1]:[31]])</f>
        <v>277</v>
      </c>
      <c r="AK8" s="1">
        <f>Augustus[[#This Row],[Totaal aantal km]]*0.4</f>
        <v>110.80000000000001</v>
      </c>
      <c r="AL8" s="10"/>
    </row>
    <row r="9" spans="1:38" ht="30" customHeight="1" x14ac:dyDescent="0.25">
      <c r="A9" t="s">
        <v>67</v>
      </c>
      <c r="AG9">
        <v>88</v>
      </c>
      <c r="AH9">
        <v>95</v>
      </c>
      <c r="AI9">
        <v>81</v>
      </c>
      <c r="AJ9" s="2">
        <f>SUM(Augustus[[#This Row],[1]:[31]])</f>
        <v>264</v>
      </c>
      <c r="AK9" s="1">
        <f>Augustus[[#This Row],[Totaal aantal km]]*0.4</f>
        <v>105.60000000000001</v>
      </c>
      <c r="AL9" s="10"/>
    </row>
    <row r="10" spans="1:38" ht="30" customHeight="1" thickBot="1" x14ac:dyDescent="0.3">
      <c r="A10" s="12"/>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t="s">
        <v>57</v>
      </c>
      <c r="AK10" s="16">
        <f>SUM(AK6:AK9)</f>
        <v>322.40000000000003</v>
      </c>
      <c r="AL10" s="10"/>
    </row>
  </sheetData>
  <mergeCells count="1">
    <mergeCell ref="E3:AI3"/>
  </mergeCells>
  <phoneticPr fontId="18" type="noConversion"/>
  <conditionalFormatting sqref="E6:AI9">
    <cfRule type="expression" priority="1" stopIfTrue="1">
      <formula>E6=""</formula>
    </cfRule>
    <cfRule type="expression" dxfId="24" priority="2" stopIfTrue="1">
      <formula>E6=KeyCustom2</formula>
    </cfRule>
    <cfRule type="expression" dxfId="23" priority="3" stopIfTrue="1">
      <formula>E6=KeyCustom1</formula>
    </cfRule>
    <cfRule type="expression" dxfId="22" priority="4" stopIfTrue="1">
      <formula>E6=KeySick</formula>
    </cfRule>
    <cfRule type="expression" dxfId="21" priority="5" stopIfTrue="1">
      <formula>E6=KeyPersonal</formula>
    </cfRule>
    <cfRule type="expression" dxfId="20" priority="6" stopIfTrue="1">
      <formula>E6=KeyVacation</formula>
    </cfRule>
  </conditionalFormatting>
  <conditionalFormatting sqref="AJ6:AJ9">
    <cfRule type="dataBar" priority="411">
      <dataBar>
        <cfvo type="min"/>
        <cfvo type="formula" val="DATEDIF(DATE(CalendarYear,2,1),DATE(CalendarYear,3,1),&quot;d&quot;)"/>
        <color theme="2" tint="-0.249977111117893"/>
      </dataBar>
      <extLst>
        <ext xmlns:x14="http://schemas.microsoft.com/office/spreadsheetml/2009/9/main" uri="{B025F937-C7B1-47D3-B67F-A62EFF666E3E}">
          <x14:id>{09900229-9536-43AB-AAE0-FC121BDECD61}</x14:id>
        </ext>
      </extLst>
    </cfRule>
  </conditionalFormatting>
  <dataValidations count="7">
    <dataValidation allowBlank="1" showInputMessage="1" showErrorMessage="1" prompt="Weekdagen in deze rij worden automatisch bijgewerkt voor de maand, overeenkomstig het jaar in AH4. Elke dag van de maand is een kolom om het verzuim en type verzuim van een werknemer te noteren" sqref="E4 L4 S4 Z4 AG4" xr:uid="{00000000-0002-0000-0700-000000000000}"/>
    <dataValidation allowBlank="1" showInputMessage="1" showErrorMessage="1" prompt="Automatisch bijgewerkt jaar op basis van het jaar dat in het werkblad januari is ingevoerd" sqref="AJ3" xr:uid="{00000000-0002-0000-0700-000001000000}"/>
    <dataValidation allowBlank="1" showInputMessage="1" showErrorMessage="1" prompt="Berekent automatisch het totaal aantal dagen die een werknemer in deze maand niet aanwezig was in deze kolom" sqref="AJ5" xr:uid="{00000000-0002-0000-0700-000002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L5" xr:uid="{00000000-0002-0000-0700-000004000000}"/>
    <dataValidation allowBlank="1" showInputMessage="1" showErrorMessage="1" prompt="De titel wordt automatisch bijgewerkt in deze cel. Als u de titel wilt wijzigen, werk B1 in het januari-werkblad bij" sqref="A1:D1" xr:uid="{00000000-0002-0000-0700-000005000000}"/>
    <dataValidation allowBlank="1" showInputMessage="1" showErrorMessage="1" prompt="De naam van de maand voor dit verzuimschema bevindt zich in deze cel. De absentietotalen voor deze maand staan in de laatste cel van de tabel. Namen van werknemers selecteren in tabelkolom B" sqref="A3:D3 AL4" xr:uid="{00000000-0002-0000-0700-00000C000000}"/>
    <dataValidation allowBlank="1" showInputMessage="1" showErrorMessage="1" prompt="De dagen van de maand in deze rij worden automatisch gegenereerd. Voer voor elke dag van de maand in elke kolom het verzuim en het type verzuim van een werknemer in. Leeg betekent geen verzuim" sqref="E5" xr:uid="{00000000-0002-0000-0700-00000D000000}"/>
  </dataValidations>
  <printOptions horizontalCentered="1"/>
  <pageMargins left="0.25" right="0.25" top="0.75" bottom="0.75" header="0.3" footer="0.3"/>
  <pageSetup paperSize="9" scale="58"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9900229-9536-43AB-AAE0-FC121BDECD61}">
            <x14:dataBar minLength="0" maxLength="100">
              <x14:cfvo type="autoMin"/>
              <x14:cfvo type="formula">
                <xm:f>DATEDIF(DATE(CalendarYear,2,1),DATE(CalendarYear,3,1),"d")</xm:f>
              </x14:cfvo>
              <x14:negativeFillColor rgb="FFFF0000"/>
              <x14:axisColor rgb="FF000000"/>
            </x14:dataBar>
          </x14:cfRule>
          <xm:sqref>AJ6:AJ9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Blad9">
    <tabColor theme="2" tint="-0.499984740745262"/>
    <pageSetUpPr fitToPage="1"/>
  </sheetPr>
  <dimension ref="A1:AK11"/>
  <sheetViews>
    <sheetView showGridLines="0" zoomScaleNormal="100" workbookViewId="0">
      <selection activeCell="G9" sqref="G9"/>
    </sheetView>
  </sheetViews>
  <sheetFormatPr defaultRowHeight="30" customHeight="1" x14ac:dyDescent="0.25"/>
  <cols>
    <col min="1" max="1" width="25.7109375" customWidth="1"/>
    <col min="2" max="2" width="15.85546875" style="1" bestFit="1" customWidth="1"/>
    <col min="3" max="3" width="14.7109375" style="1" bestFit="1" customWidth="1"/>
    <col min="4" max="4" width="13.42578125" style="1" bestFit="1" customWidth="1"/>
    <col min="5" max="34" width="4.28515625" customWidth="1"/>
    <col min="35" max="35" width="15.5703125" bestFit="1" customWidth="1"/>
    <col min="36" max="36" width="14.85546875" bestFit="1" customWidth="1"/>
    <col min="37" max="37" width="16.7109375" bestFit="1" customWidth="1"/>
  </cols>
  <sheetData>
    <row r="1" spans="1:37" ht="50.1" customHeight="1" x14ac:dyDescent="0.25">
      <c r="A1" s="4" t="str">
        <f>Employee_Absence_Title</f>
        <v>Kilometer werknemers</v>
      </c>
      <c r="B1" s="17"/>
      <c r="C1" s="17"/>
      <c r="D1" s="17"/>
    </row>
    <row r="2" spans="1:37" ht="15" customHeight="1" x14ac:dyDescent="0.25">
      <c r="A2" s="4"/>
      <c r="B2" s="17"/>
      <c r="C2" s="17"/>
      <c r="D2" s="17"/>
    </row>
    <row r="3" spans="1:37" ht="30" customHeight="1" x14ac:dyDescent="0.25">
      <c r="A3" s="3" t="s">
        <v>52</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3">
        <f>CalendarYear</f>
        <v>2025</v>
      </c>
    </row>
    <row r="4" spans="1:37" ht="15" customHeight="1" x14ac:dyDescent="0.25">
      <c r="A4" s="3"/>
      <c r="B4" s="3"/>
      <c r="C4" s="3"/>
      <c r="D4" s="3"/>
      <c r="E4" s="1" t="str">
        <f>TEXT(WEEKDAY(DATE(CalendarYear,9,1),1),"aaa")</f>
        <v>ma</v>
      </c>
      <c r="F4" s="1" t="str">
        <f>TEXT(WEEKDAY(DATE(CalendarYear,9,2),1),"aaa")</f>
        <v>di</v>
      </c>
      <c r="G4" s="1" t="str">
        <f>TEXT(WEEKDAY(DATE(CalendarYear,9,3),1),"aaa")</f>
        <v>wo</v>
      </c>
      <c r="H4" s="1" t="str">
        <f>TEXT(WEEKDAY(DATE(CalendarYear,9,4),1),"aaa")</f>
        <v>do</v>
      </c>
      <c r="I4" s="1" t="str">
        <f>TEXT(WEEKDAY(DATE(CalendarYear,9,5),1),"aaa")</f>
        <v>vr</v>
      </c>
      <c r="J4" s="1" t="str">
        <f>TEXT(WEEKDAY(DATE(CalendarYear,9,6),1),"aaa")</f>
        <v>za</v>
      </c>
      <c r="K4" s="1" t="str">
        <f>TEXT(WEEKDAY(DATE(CalendarYear,9,7),1),"aaa")</f>
        <v>zo</v>
      </c>
      <c r="L4" s="1" t="str">
        <f>TEXT(WEEKDAY(DATE(CalendarYear,9,1),1),"aaa")</f>
        <v>ma</v>
      </c>
      <c r="M4" s="1" t="str">
        <f>TEXT(WEEKDAY(DATE(CalendarYear,9,2),1),"aaa")</f>
        <v>di</v>
      </c>
      <c r="N4" s="1" t="str">
        <f>TEXT(WEEKDAY(DATE(CalendarYear,9,3),1),"aaa")</f>
        <v>wo</v>
      </c>
      <c r="O4" s="1" t="str">
        <f>TEXT(WEEKDAY(DATE(CalendarYear,9,4),1),"aaa")</f>
        <v>do</v>
      </c>
      <c r="P4" s="1" t="str">
        <f>TEXT(WEEKDAY(DATE(CalendarYear,9,5),1),"aaa")</f>
        <v>vr</v>
      </c>
      <c r="Q4" s="1" t="str">
        <f>TEXT(WEEKDAY(DATE(CalendarYear,9,6),1),"aaa")</f>
        <v>za</v>
      </c>
      <c r="R4" s="1" t="str">
        <f>TEXT(WEEKDAY(DATE(CalendarYear,9,7),1),"aaa")</f>
        <v>zo</v>
      </c>
      <c r="S4" s="1" t="str">
        <f>TEXT(WEEKDAY(DATE(CalendarYear,9,1),1),"aaa")</f>
        <v>ma</v>
      </c>
      <c r="T4" s="1" t="str">
        <f>TEXT(WEEKDAY(DATE(CalendarYear,9,2),1),"aaa")</f>
        <v>di</v>
      </c>
      <c r="U4" s="1" t="str">
        <f>TEXT(WEEKDAY(DATE(CalendarYear,9,3),1),"aaa")</f>
        <v>wo</v>
      </c>
      <c r="V4" s="1" t="str">
        <f>TEXT(WEEKDAY(DATE(CalendarYear,9,4),1),"aaa")</f>
        <v>do</v>
      </c>
      <c r="W4" s="1" t="str">
        <f>TEXT(WEEKDAY(DATE(CalendarYear,9,5),1),"aaa")</f>
        <v>vr</v>
      </c>
      <c r="X4" s="1" t="str">
        <f>TEXT(WEEKDAY(DATE(CalendarYear,9,6),1),"aaa")</f>
        <v>za</v>
      </c>
      <c r="Y4" s="1" t="str">
        <f>TEXT(WEEKDAY(DATE(CalendarYear,9,7),1),"aaa")</f>
        <v>zo</v>
      </c>
      <c r="Z4" s="1" t="str">
        <f>TEXT(WEEKDAY(DATE(CalendarYear,9,1),1),"aaa")</f>
        <v>ma</v>
      </c>
      <c r="AA4" s="1" t="str">
        <f>TEXT(WEEKDAY(DATE(CalendarYear,9,2),1),"aaa")</f>
        <v>di</v>
      </c>
      <c r="AB4" s="1" t="str">
        <f>TEXT(WEEKDAY(DATE(CalendarYear,9,3),1),"aaa")</f>
        <v>wo</v>
      </c>
      <c r="AC4" s="1" t="str">
        <f>TEXT(WEEKDAY(DATE(CalendarYear,9,4),1),"aaa")</f>
        <v>do</v>
      </c>
      <c r="AD4" s="1" t="str">
        <f>TEXT(WEEKDAY(DATE(CalendarYear,9,5),1),"aaa")</f>
        <v>vr</v>
      </c>
      <c r="AE4" s="1" t="str">
        <f>TEXT(WEEKDAY(DATE(CalendarYear,9,6),1),"aaa")</f>
        <v>za</v>
      </c>
      <c r="AF4" s="1" t="str">
        <f>TEXT(WEEKDAY(DATE(CalendarYear,9,7),1),"aaa")</f>
        <v>zo</v>
      </c>
      <c r="AG4" s="1" t="str">
        <f>TEXT(WEEKDAY(DATE(CalendarYear,9,1),1),"aaa")</f>
        <v>ma</v>
      </c>
      <c r="AH4" s="1" t="str">
        <f>TEXT(WEEKDAY(DATE(CalendarYear,9,2),1),"aaa")</f>
        <v>di</v>
      </c>
      <c r="AI4" s="3"/>
      <c r="AJ4" s="11" t="s">
        <v>2</v>
      </c>
      <c r="AK4" s="3"/>
    </row>
    <row r="5" spans="1:37" ht="15" customHeight="1" x14ac:dyDescent="0.25">
      <c r="A5" s="5"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6" t="s">
        <v>38</v>
      </c>
      <c r="AJ5" s="11" t="s">
        <v>56</v>
      </c>
      <c r="AK5" s="9" t="s">
        <v>39</v>
      </c>
    </row>
    <row r="6" spans="1:37" ht="30" customHeight="1" x14ac:dyDescent="0.25">
      <c r="A6" t="s">
        <v>43</v>
      </c>
      <c r="B6" s="1">
        <v>290397</v>
      </c>
      <c r="C6" s="1">
        <v>293845</v>
      </c>
      <c r="D6" s="1" t="s">
        <v>61</v>
      </c>
      <c r="I6">
        <v>89</v>
      </c>
      <c r="J6">
        <v>95</v>
      </c>
      <c r="K6">
        <v>87</v>
      </c>
      <c r="P6">
        <v>87</v>
      </c>
      <c r="Q6">
        <v>98</v>
      </c>
      <c r="R6">
        <v>95</v>
      </c>
      <c r="W6">
        <v>89</v>
      </c>
      <c r="X6">
        <v>97</v>
      </c>
      <c r="Y6">
        <v>102</v>
      </c>
      <c r="AD6">
        <v>104</v>
      </c>
      <c r="AE6">
        <v>95</v>
      </c>
      <c r="AF6">
        <v>92</v>
      </c>
      <c r="AI6" s="8">
        <f>SUM(September[[#This Row],[1]:[30]])</f>
        <v>1130</v>
      </c>
      <c r="AJ6" s="1">
        <f>September[[#This Row],[Totaal aantal km]]*0.4</f>
        <v>452</v>
      </c>
      <c r="AK6" s="10"/>
    </row>
    <row r="7" spans="1:37" ht="30" customHeight="1" x14ac:dyDescent="0.25">
      <c r="A7" t="s">
        <v>74</v>
      </c>
      <c r="B7" s="1">
        <v>157101</v>
      </c>
      <c r="C7" s="1">
        <v>153850</v>
      </c>
      <c r="D7" s="1" t="s">
        <v>72</v>
      </c>
      <c r="I7">
        <v>99</v>
      </c>
      <c r="J7">
        <v>85</v>
      </c>
      <c r="K7">
        <v>96</v>
      </c>
      <c r="P7">
        <v>96</v>
      </c>
      <c r="Q7">
        <v>87</v>
      </c>
      <c r="R7">
        <v>82</v>
      </c>
      <c r="W7">
        <v>99</v>
      </c>
      <c r="X7">
        <v>85</v>
      </c>
      <c r="Y7">
        <v>78</v>
      </c>
      <c r="AD7">
        <v>92</v>
      </c>
      <c r="AE7">
        <v>97</v>
      </c>
      <c r="AF7">
        <v>93</v>
      </c>
      <c r="AI7" s="8">
        <f>SUM(September[[#This Row],[1]:[30]])</f>
        <v>1089</v>
      </c>
      <c r="AJ7" s="1">
        <f>September[[#This Row],[Totaal aantal km]]*0.4</f>
        <v>435.6</v>
      </c>
      <c r="AK7" s="10"/>
    </row>
    <row r="8" spans="1:37" ht="30" customHeight="1" x14ac:dyDescent="0.25">
      <c r="A8" t="s">
        <v>42</v>
      </c>
      <c r="B8" s="1">
        <v>140985</v>
      </c>
      <c r="C8" s="1">
        <v>142763</v>
      </c>
      <c r="D8" s="1" t="s">
        <v>63</v>
      </c>
      <c r="E8" s="1"/>
      <c r="F8" s="1"/>
      <c r="G8" s="1"/>
      <c r="H8" s="1"/>
      <c r="I8" s="1"/>
      <c r="J8" s="1">
        <v>96</v>
      </c>
      <c r="K8" s="1">
        <v>83</v>
      </c>
      <c r="L8" s="1"/>
      <c r="M8" s="1"/>
      <c r="N8" s="1">
        <v>115</v>
      </c>
      <c r="O8" s="1">
        <v>105</v>
      </c>
      <c r="P8" s="1">
        <v>82</v>
      </c>
      <c r="Q8" s="1">
        <v>84</v>
      </c>
      <c r="R8" s="1">
        <v>92</v>
      </c>
      <c r="S8" s="1"/>
      <c r="T8" s="1"/>
      <c r="U8" s="1"/>
      <c r="V8" s="1"/>
      <c r="W8" s="1"/>
      <c r="X8" s="1">
        <v>89</v>
      </c>
      <c r="Y8" s="1">
        <v>85</v>
      </c>
      <c r="Z8" s="1"/>
      <c r="AA8" s="1"/>
      <c r="AB8" s="1">
        <v>119</v>
      </c>
      <c r="AC8" s="1">
        <v>125</v>
      </c>
      <c r="AD8" s="1">
        <v>92</v>
      </c>
      <c r="AE8" s="1">
        <v>93</v>
      </c>
      <c r="AF8" s="1">
        <v>82</v>
      </c>
      <c r="AG8" s="1"/>
      <c r="AH8" s="1"/>
      <c r="AI8" s="2">
        <f>SUM(September[[#This Row],[1]:[30]])</f>
        <v>1342</v>
      </c>
      <c r="AJ8" s="1">
        <f>September[[#This Row],[Totaal aantal km]]*0.4</f>
        <v>536.80000000000007</v>
      </c>
      <c r="AK8" s="10"/>
    </row>
    <row r="9" spans="1:37" ht="30" customHeight="1" x14ac:dyDescent="0.25">
      <c r="A9" t="s">
        <v>40</v>
      </c>
      <c r="B9" s="1">
        <v>233584</v>
      </c>
      <c r="C9" s="1">
        <v>238238</v>
      </c>
      <c r="D9" s="1" t="s">
        <v>62</v>
      </c>
      <c r="J9">
        <v>105</v>
      </c>
      <c r="K9">
        <v>98</v>
      </c>
      <c r="Q9">
        <v>104</v>
      </c>
      <c r="R9">
        <v>105</v>
      </c>
      <c r="X9">
        <v>105</v>
      </c>
      <c r="Y9">
        <v>108</v>
      </c>
      <c r="AE9">
        <v>105</v>
      </c>
      <c r="AF9">
        <v>108</v>
      </c>
      <c r="AI9" s="8">
        <f>SUM(September[[#This Row],[1]:[30]])</f>
        <v>838</v>
      </c>
      <c r="AJ9" s="1">
        <f>September[[#This Row],[Totaal aantal km]]*0.4</f>
        <v>335.20000000000005</v>
      </c>
      <c r="AK9" s="10"/>
    </row>
    <row r="10" spans="1:37" ht="30" customHeight="1" x14ac:dyDescent="0.25">
      <c r="A10" t="s">
        <v>67</v>
      </c>
      <c r="E10" s="1"/>
      <c r="F10" s="1">
        <v>75</v>
      </c>
      <c r="G10" s="1">
        <v>86</v>
      </c>
      <c r="H10" s="1">
        <v>78</v>
      </c>
      <c r="I10" s="1">
        <v>85</v>
      </c>
      <c r="J10" s="1">
        <v>89</v>
      </c>
      <c r="K10" s="1">
        <v>82</v>
      </c>
      <c r="L10" s="1"/>
      <c r="M10" s="1">
        <v>74</v>
      </c>
      <c r="N10" s="1">
        <v>86</v>
      </c>
      <c r="O10" s="1">
        <v>66</v>
      </c>
      <c r="P10" s="1">
        <v>85</v>
      </c>
      <c r="Q10" s="1">
        <v>86</v>
      </c>
      <c r="R10" s="1">
        <v>81</v>
      </c>
      <c r="S10" s="1"/>
      <c r="T10" s="1">
        <v>77</v>
      </c>
      <c r="U10" s="1">
        <v>86</v>
      </c>
      <c r="V10" s="1">
        <v>91</v>
      </c>
      <c r="W10" s="1">
        <v>85</v>
      </c>
      <c r="X10" s="1">
        <v>72</v>
      </c>
      <c r="Y10" s="1">
        <v>68</v>
      </c>
      <c r="Z10" s="1"/>
      <c r="AA10" s="1">
        <v>75</v>
      </c>
      <c r="AB10" s="1">
        <v>86</v>
      </c>
      <c r="AC10" s="1">
        <v>77</v>
      </c>
      <c r="AD10" s="1">
        <v>87</v>
      </c>
      <c r="AE10" s="1">
        <v>98</v>
      </c>
      <c r="AF10" s="1">
        <v>93</v>
      </c>
      <c r="AG10" s="1"/>
      <c r="AH10" s="1">
        <v>88</v>
      </c>
      <c r="AI10" s="2">
        <f>SUM(September[[#This Row],[1]:[30]])</f>
        <v>2056</v>
      </c>
      <c r="AJ10" s="1">
        <f>September[[#This Row],[Totaal aantal km]]*0.4</f>
        <v>822.40000000000009</v>
      </c>
      <c r="AK10" s="10"/>
    </row>
    <row r="11" spans="1:37" ht="30" customHeight="1" thickBot="1" x14ac:dyDescent="0.3">
      <c r="A11" s="12"/>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t="s">
        <v>57</v>
      </c>
      <c r="AJ11" s="16">
        <f>SUM(AJ6:AJ10)</f>
        <v>2582</v>
      </c>
      <c r="AK11" s="10"/>
    </row>
  </sheetData>
  <mergeCells count="1">
    <mergeCell ref="E3:AH3"/>
  </mergeCells>
  <phoneticPr fontId="18" type="noConversion"/>
  <conditionalFormatting sqref="E6:AH10">
    <cfRule type="expression" priority="1" stopIfTrue="1">
      <formula>E6=""</formula>
    </cfRule>
    <cfRule type="expression" dxfId="19" priority="2" stopIfTrue="1">
      <formula>E6=KeyCustom2</formula>
    </cfRule>
    <cfRule type="expression" dxfId="18" priority="3" stopIfTrue="1">
      <formula>E6=KeyCustom1</formula>
    </cfRule>
    <cfRule type="expression" dxfId="17" priority="4" stopIfTrue="1">
      <formula>E6=KeySick</formula>
    </cfRule>
    <cfRule type="expression" dxfId="16" priority="5" stopIfTrue="1">
      <formula>E6=KeyPersonal</formula>
    </cfRule>
    <cfRule type="expression" dxfId="15" priority="6" stopIfTrue="1">
      <formula>E6=KeyVacation</formula>
    </cfRule>
  </conditionalFormatting>
  <conditionalFormatting sqref="AI6:AI10">
    <cfRule type="dataBar" priority="522">
      <dataBar>
        <cfvo type="min"/>
        <cfvo type="formula" val="DATEDIF(DATE(CalendarYear,2,1),DATE(CalendarYear,3,1),&quot;d&quot;)"/>
        <color theme="2" tint="-0.249977111117893"/>
      </dataBar>
      <extLst>
        <ext xmlns:x14="http://schemas.microsoft.com/office/spreadsheetml/2009/9/main" uri="{B025F937-C7B1-47D3-B67F-A62EFF666E3E}">
          <x14:id>{1A021984-06A1-41D9-90D2-8C16E885020B}</x14:id>
        </ext>
      </extLst>
    </cfRule>
  </conditionalFormatting>
  <dataValidations count="7">
    <dataValidation allowBlank="1" showInputMessage="1" showErrorMessage="1" prompt="De dagen van de maand in deze rij worden automatisch gegenereerd. Voer voor elke dag van de maand in elke kolom het verzuim en het type verzuim van een werknemer in. Leeg betekent geen verzuim" sqref="E5" xr:uid="{00000000-0002-0000-0800-000000000000}"/>
    <dataValidation allowBlank="1" showInputMessage="1" showErrorMessage="1" prompt="De naam van de maand voor dit verzuimschema bevindt zich in deze cel. De absentietotalen voor deze maand staan in de laatste cel van de tabel. Namen van werknemers selecteren in tabelkolom B" sqref="A3:D3 AK4" xr:uid="{00000000-0002-0000-0800-000001000000}"/>
    <dataValidation allowBlank="1" showInputMessage="1" showErrorMessage="1" prompt="De titel wordt automatisch bijgewerkt in deze cel. Als u de titel wilt wijzigen, werk B1 in het januari-werkblad bij" sqref="A1:D1" xr:uid="{00000000-0002-0000-0800-000008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K5" xr:uid="{00000000-0002-0000-0800-000009000000}"/>
    <dataValidation allowBlank="1" showInputMessage="1" showErrorMessage="1" prompt="Berekent automatisch het totaal aantal dagen die een werknemer in deze maand niet aanwezig was in deze kolom" sqref="AI5" xr:uid="{00000000-0002-0000-0800-00000B000000}"/>
    <dataValidation allowBlank="1" showInputMessage="1" showErrorMessage="1" prompt="Automatisch bijgewerkt jaar op basis van het jaar dat in het werkblad januari is ingevoerd" sqref="AI3" xr:uid="{00000000-0002-0000-0800-00000C000000}"/>
    <dataValidation allowBlank="1" showInputMessage="1" showErrorMessage="1" prompt="Weekdagen in deze rij worden automatisch bijgewerkt voor de maand, overeenkomstig het jaar in AH4. Elke dag van de maand is een kolom om het verzuim en type verzuim van een werknemer te noteren" sqref="E4 L4 S4 Z4 AG4" xr:uid="{00000000-0002-0000-0800-00000D000000}"/>
  </dataValidations>
  <printOptions horizontalCentered="1"/>
  <pageMargins left="0.25" right="0.25" top="0.75" bottom="0.75" header="0.3" footer="0.3"/>
  <pageSetup paperSize="9" scale="58"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A021984-06A1-41D9-90D2-8C16E885020B}">
            <x14:dataBar minLength="0" maxLength="100">
              <x14:cfvo type="autoMin"/>
              <x14:cfvo type="formula">
                <xm:f>DATEDIF(DATE(CalendarYear,2,1),DATE(CalendarYear,3,1),"d")</xm:f>
              </x14:cfvo>
              <x14:negativeFillColor rgb="FFFF0000"/>
              <x14:axisColor rgb="FF000000"/>
            </x14:dataBar>
          </x14:cfRule>
          <xm:sqref>AI6:AI10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tabColor theme="2" tint="-0.249977111117893"/>
    <pageSetUpPr fitToPage="1"/>
  </sheetPr>
  <dimension ref="A1:AL12"/>
  <sheetViews>
    <sheetView showGridLines="0" zoomScaleNormal="100" workbookViewId="0">
      <selection activeCell="AF8" sqref="AF8"/>
    </sheetView>
  </sheetViews>
  <sheetFormatPr defaultRowHeight="30" customHeight="1" x14ac:dyDescent="0.25"/>
  <cols>
    <col min="1" max="1" width="25.7109375" customWidth="1"/>
    <col min="2" max="2" width="15.85546875" style="1" bestFit="1" customWidth="1"/>
    <col min="3" max="3" width="14.7109375" style="1" bestFit="1" customWidth="1"/>
    <col min="4" max="4" width="13.42578125" style="1" bestFit="1" customWidth="1"/>
    <col min="5" max="35" width="4.28515625" customWidth="1"/>
    <col min="36" max="36" width="15.5703125" bestFit="1" customWidth="1"/>
    <col min="37" max="37" width="14.85546875" bestFit="1" customWidth="1"/>
    <col min="38" max="38" width="16.7109375" bestFit="1" customWidth="1"/>
  </cols>
  <sheetData>
    <row r="1" spans="1:38" ht="50.1" customHeight="1" x14ac:dyDescent="0.25">
      <c r="A1" s="4" t="str">
        <f>Employee_Absence_Title</f>
        <v>Kilometer werknemers</v>
      </c>
      <c r="B1" s="17"/>
      <c r="C1" s="17"/>
      <c r="D1" s="17"/>
    </row>
    <row r="2" spans="1:38" ht="15" customHeight="1" x14ac:dyDescent="0.25">
      <c r="A2" s="4"/>
      <c r="B2" s="17"/>
      <c r="C2" s="17"/>
      <c r="D2" s="17"/>
    </row>
    <row r="3" spans="1:38" ht="30" customHeight="1" x14ac:dyDescent="0.25">
      <c r="A3" s="3" t="s">
        <v>53</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3">
        <f>CalendarYear</f>
        <v>2025</v>
      </c>
    </row>
    <row r="4" spans="1:38" ht="15" customHeight="1" x14ac:dyDescent="0.25">
      <c r="A4" s="3"/>
      <c r="B4" s="3"/>
      <c r="C4" s="3"/>
      <c r="D4" s="3"/>
      <c r="E4" s="1" t="str">
        <f>TEXT(WEEKDAY(DATE(CalendarYear,10,1),1),"aaa")</f>
        <v>wo</v>
      </c>
      <c r="F4" s="1" t="str">
        <f>TEXT(WEEKDAY(DATE(CalendarYear,10,2),1),"aaa")</f>
        <v>do</v>
      </c>
      <c r="G4" s="1" t="str">
        <f>TEXT(WEEKDAY(DATE(CalendarYear,10,3),1),"aaa")</f>
        <v>vr</v>
      </c>
      <c r="H4" s="1" t="str">
        <f>TEXT(WEEKDAY(DATE(CalendarYear,10,4),1),"aaa")</f>
        <v>za</v>
      </c>
      <c r="I4" s="1" t="str">
        <f>TEXT(WEEKDAY(DATE(CalendarYear,10,5),1),"aaa")</f>
        <v>zo</v>
      </c>
      <c r="J4" s="1" t="str">
        <f>TEXT(WEEKDAY(DATE(CalendarYear,10,6),1),"aaa")</f>
        <v>ma</v>
      </c>
      <c r="K4" s="1" t="str">
        <f>TEXT(WEEKDAY(DATE(CalendarYear,10,7),1),"aaa")</f>
        <v>di</v>
      </c>
      <c r="L4" s="1" t="str">
        <f>TEXT(WEEKDAY(DATE(CalendarYear,10,1),1),"aaa")</f>
        <v>wo</v>
      </c>
      <c r="M4" s="1" t="str">
        <f>TEXT(WEEKDAY(DATE(CalendarYear,10,2),1),"aaa")</f>
        <v>do</v>
      </c>
      <c r="N4" s="1" t="str">
        <f>TEXT(WEEKDAY(DATE(CalendarYear,10,3),1),"aaa")</f>
        <v>vr</v>
      </c>
      <c r="O4" s="1" t="str">
        <f>TEXT(WEEKDAY(DATE(CalendarYear,10,4),1),"aaa")</f>
        <v>za</v>
      </c>
      <c r="P4" s="1" t="str">
        <f>TEXT(WEEKDAY(DATE(CalendarYear,10,5),1),"aaa")</f>
        <v>zo</v>
      </c>
      <c r="Q4" s="1" t="str">
        <f>TEXT(WEEKDAY(DATE(CalendarYear,10,6),1),"aaa")</f>
        <v>ma</v>
      </c>
      <c r="R4" s="1" t="str">
        <f>TEXT(WEEKDAY(DATE(CalendarYear,10,7),1),"aaa")</f>
        <v>di</v>
      </c>
      <c r="S4" s="1" t="str">
        <f>TEXT(WEEKDAY(DATE(CalendarYear,10,1),1),"aaa")</f>
        <v>wo</v>
      </c>
      <c r="T4" s="1" t="str">
        <f>TEXT(WEEKDAY(DATE(CalendarYear,10,2),1),"aaa")</f>
        <v>do</v>
      </c>
      <c r="U4" s="1" t="str">
        <f>TEXT(WEEKDAY(DATE(CalendarYear,10,3),1),"aaa")</f>
        <v>vr</v>
      </c>
      <c r="V4" s="1" t="str">
        <f>TEXT(WEEKDAY(DATE(CalendarYear,10,4),1),"aaa")</f>
        <v>za</v>
      </c>
      <c r="W4" s="1" t="str">
        <f>TEXT(WEEKDAY(DATE(CalendarYear,10,5),1),"aaa")</f>
        <v>zo</v>
      </c>
      <c r="X4" s="1" t="str">
        <f>TEXT(WEEKDAY(DATE(CalendarYear,10,6),1),"aaa")</f>
        <v>ma</v>
      </c>
      <c r="Y4" s="1" t="str">
        <f>TEXT(WEEKDAY(DATE(CalendarYear,10,7),1),"aaa")</f>
        <v>di</v>
      </c>
      <c r="Z4" s="1" t="str">
        <f>TEXT(WEEKDAY(DATE(CalendarYear,10,1),1),"aaa")</f>
        <v>wo</v>
      </c>
      <c r="AA4" s="1" t="str">
        <f>TEXT(WEEKDAY(DATE(CalendarYear,10,2),1),"aaa")</f>
        <v>do</v>
      </c>
      <c r="AB4" s="1" t="str">
        <f>TEXT(WEEKDAY(DATE(CalendarYear,10,3),1),"aaa")</f>
        <v>vr</v>
      </c>
      <c r="AC4" s="1" t="str">
        <f>TEXT(WEEKDAY(DATE(CalendarYear,10,4),1),"aaa")</f>
        <v>za</v>
      </c>
      <c r="AD4" s="1" t="str">
        <f>TEXT(WEEKDAY(DATE(CalendarYear,10,5),1),"aaa")</f>
        <v>zo</v>
      </c>
      <c r="AE4" s="1" t="str">
        <f>TEXT(WEEKDAY(DATE(CalendarYear,10,6),1),"aaa")</f>
        <v>ma</v>
      </c>
      <c r="AF4" s="1" t="str">
        <f>TEXT(WEEKDAY(DATE(CalendarYear,10,7),1),"aaa")</f>
        <v>di</v>
      </c>
      <c r="AG4" s="1" t="str">
        <f>TEXT(WEEKDAY(DATE(CalendarYear,10,1),1),"aaa")</f>
        <v>wo</v>
      </c>
      <c r="AH4" s="1" t="str">
        <f>TEXT(WEEKDAY(DATE(CalendarYear,10,2),1),"aaa")</f>
        <v>do</v>
      </c>
      <c r="AI4" s="1" t="str">
        <f>TEXT(WEEKDAY(DATE(CalendarYear,10,3),1),"aaa")</f>
        <v>vr</v>
      </c>
      <c r="AJ4" s="3"/>
      <c r="AK4" s="11" t="s">
        <v>2</v>
      </c>
      <c r="AL4" s="3"/>
    </row>
    <row r="5" spans="1:38" ht="15" customHeight="1" x14ac:dyDescent="0.25">
      <c r="A5" s="5"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1" t="s">
        <v>37</v>
      </c>
      <c r="AJ5" s="6" t="s">
        <v>38</v>
      </c>
      <c r="AK5" s="11" t="s">
        <v>56</v>
      </c>
      <c r="AL5" s="9" t="s">
        <v>39</v>
      </c>
    </row>
    <row r="6" spans="1:38" ht="30" customHeight="1" x14ac:dyDescent="0.25">
      <c r="A6" t="s">
        <v>43</v>
      </c>
      <c r="B6" s="1">
        <v>293845</v>
      </c>
      <c r="C6" s="1">
        <v>296054</v>
      </c>
      <c r="D6" s="1" t="s">
        <v>61</v>
      </c>
      <c r="G6">
        <v>98</v>
      </c>
      <c r="H6">
        <v>102</v>
      </c>
      <c r="I6">
        <v>92</v>
      </c>
      <c r="N6">
        <v>105</v>
      </c>
      <c r="O6">
        <v>95</v>
      </c>
      <c r="P6">
        <v>97</v>
      </c>
      <c r="U6">
        <v>78</v>
      </c>
      <c r="V6">
        <v>95</v>
      </c>
      <c r="W6">
        <v>92</v>
      </c>
      <c r="AB6">
        <v>96</v>
      </c>
      <c r="AC6">
        <v>92</v>
      </c>
      <c r="AD6">
        <v>99</v>
      </c>
      <c r="AI6">
        <v>108</v>
      </c>
      <c r="AJ6" s="8">
        <f>SUM(Oktober[[#This Row],[1]:[31]])</f>
        <v>1249</v>
      </c>
      <c r="AK6" s="1">
        <f>Oktober[[#This Row],[Totaal aantal km]]*0.4</f>
        <v>499.6</v>
      </c>
      <c r="AL6" s="10"/>
    </row>
    <row r="7" spans="1:38" ht="30" customHeight="1" x14ac:dyDescent="0.25">
      <c r="A7" t="s">
        <v>71</v>
      </c>
      <c r="B7" s="1">
        <v>153850</v>
      </c>
      <c r="C7" s="1">
        <v>153985</v>
      </c>
      <c r="D7" s="1" t="s">
        <v>72</v>
      </c>
      <c r="G7">
        <v>94</v>
      </c>
      <c r="AJ7" s="8">
        <f>SUM(Oktober[[#This Row],[1]:[31]])</f>
        <v>94</v>
      </c>
      <c r="AK7" s="1">
        <f>Oktober[[#This Row],[Totaal aantal km]]*0.4</f>
        <v>37.6</v>
      </c>
      <c r="AL7" s="10"/>
    </row>
    <row r="8" spans="1:38" ht="30" customHeight="1" x14ac:dyDescent="0.25">
      <c r="A8" t="s">
        <v>42</v>
      </c>
      <c r="B8" s="1">
        <v>142763</v>
      </c>
      <c r="C8" s="1">
        <v>144852</v>
      </c>
      <c r="D8" s="1" t="s">
        <v>63</v>
      </c>
      <c r="E8" s="1"/>
      <c r="F8" s="1"/>
      <c r="G8" s="1"/>
      <c r="H8" s="1">
        <v>88</v>
      </c>
      <c r="I8" s="1">
        <v>95</v>
      </c>
      <c r="J8" s="1"/>
      <c r="K8" s="1"/>
      <c r="L8" s="1">
        <v>107</v>
      </c>
      <c r="M8" s="1">
        <v>116</v>
      </c>
      <c r="N8" s="1">
        <v>82</v>
      </c>
      <c r="O8" s="1">
        <v>91</v>
      </c>
      <c r="P8" s="1">
        <v>78</v>
      </c>
      <c r="Q8" s="1"/>
      <c r="R8" s="1"/>
      <c r="S8" s="1"/>
      <c r="T8" s="1"/>
      <c r="U8" s="1"/>
      <c r="V8" s="1">
        <v>92</v>
      </c>
      <c r="W8" s="1">
        <v>93</v>
      </c>
      <c r="X8" s="1"/>
      <c r="Y8" s="1"/>
      <c r="Z8" s="1">
        <v>114</v>
      </c>
      <c r="AA8" s="1">
        <v>125</v>
      </c>
      <c r="AB8" s="1">
        <v>89</v>
      </c>
      <c r="AC8" s="1">
        <v>87</v>
      </c>
      <c r="AD8" s="1">
        <v>96</v>
      </c>
      <c r="AE8" s="1"/>
      <c r="AF8" s="1"/>
      <c r="AG8" s="1"/>
      <c r="AH8" s="1"/>
      <c r="AI8" s="1"/>
      <c r="AJ8" s="2">
        <f>SUM(Oktober[[#This Row],[1]:[31]])</f>
        <v>1353</v>
      </c>
      <c r="AK8" s="1">
        <f>Oktober[[#This Row],[Totaal aantal km]]*0.4</f>
        <v>541.20000000000005</v>
      </c>
      <c r="AL8" s="10"/>
    </row>
    <row r="9" spans="1:38" ht="30" customHeight="1" x14ac:dyDescent="0.25">
      <c r="A9" t="s">
        <v>40</v>
      </c>
      <c r="B9" s="1">
        <v>238238</v>
      </c>
      <c r="C9" s="1">
        <v>240042</v>
      </c>
      <c r="D9" s="1" t="s">
        <v>62</v>
      </c>
      <c r="E9" s="1"/>
      <c r="F9" s="1"/>
      <c r="G9" s="1"/>
      <c r="H9" s="1">
        <v>102</v>
      </c>
      <c r="I9" s="1">
        <v>85</v>
      </c>
      <c r="J9" s="1"/>
      <c r="K9" s="1"/>
      <c r="L9" s="1"/>
      <c r="M9" s="1"/>
      <c r="N9" s="1"/>
      <c r="O9" s="1"/>
      <c r="P9" s="1"/>
      <c r="Q9" s="1"/>
      <c r="R9" s="1"/>
      <c r="S9" s="1"/>
      <c r="T9" s="1"/>
      <c r="U9" s="1"/>
      <c r="V9" s="1">
        <v>102</v>
      </c>
      <c r="W9" s="1">
        <v>107</v>
      </c>
      <c r="X9" s="1"/>
      <c r="Y9" s="1"/>
      <c r="Z9" s="1"/>
      <c r="AA9" s="1"/>
      <c r="AB9" s="1"/>
      <c r="AC9" s="1"/>
      <c r="AD9" s="1"/>
      <c r="AE9" s="1"/>
      <c r="AF9" s="1"/>
      <c r="AG9" s="1"/>
      <c r="AH9" s="1"/>
      <c r="AI9" s="1"/>
      <c r="AJ9" s="2">
        <f>SUM(Oktober[[#This Row],[1]:[31]])</f>
        <v>396</v>
      </c>
      <c r="AK9" s="1">
        <f>Oktober[[#This Row],[Totaal aantal km]]*0.4</f>
        <v>158.4</v>
      </c>
      <c r="AL9" s="10"/>
    </row>
    <row r="10" spans="1:38" ht="30" customHeight="1" x14ac:dyDescent="0.25">
      <c r="A10" t="s">
        <v>41</v>
      </c>
      <c r="B10" s="1">
        <v>302155</v>
      </c>
      <c r="C10" s="18">
        <v>305120</v>
      </c>
      <c r="D10" s="1" t="s">
        <v>66</v>
      </c>
      <c r="H10">
        <v>96</v>
      </c>
      <c r="I10">
        <v>87</v>
      </c>
      <c r="K10">
        <v>89</v>
      </c>
      <c r="L10">
        <v>98</v>
      </c>
      <c r="N10">
        <v>102</v>
      </c>
      <c r="O10">
        <v>104</v>
      </c>
      <c r="P10">
        <v>82</v>
      </c>
      <c r="S10">
        <v>105</v>
      </c>
      <c r="T10">
        <v>115</v>
      </c>
      <c r="U10">
        <v>85</v>
      </c>
      <c r="V10">
        <v>67</v>
      </c>
      <c r="W10">
        <v>75</v>
      </c>
      <c r="AC10">
        <v>92</v>
      </c>
      <c r="AD10">
        <v>102</v>
      </c>
      <c r="AF10">
        <v>109</v>
      </c>
      <c r="AG10">
        <v>119</v>
      </c>
      <c r="AI10">
        <v>98</v>
      </c>
      <c r="AJ10" s="8">
        <f>SUM(Oktober[[#This Row],[1]:[31]])</f>
        <v>1625</v>
      </c>
      <c r="AK10" s="1">
        <f>Oktober[[#This Row],[Totaal aantal km]]*0.4</f>
        <v>650</v>
      </c>
      <c r="AL10" s="10"/>
    </row>
    <row r="11" spans="1:38" ht="30" customHeight="1" x14ac:dyDescent="0.25">
      <c r="A11" t="s">
        <v>67</v>
      </c>
      <c r="E11" s="1">
        <v>88</v>
      </c>
      <c r="F11" s="1">
        <v>77</v>
      </c>
      <c r="G11" s="1">
        <v>81</v>
      </c>
      <c r="H11" s="1">
        <v>86</v>
      </c>
      <c r="I11" s="1">
        <v>85</v>
      </c>
      <c r="J11" s="1"/>
      <c r="K11" s="1">
        <v>97</v>
      </c>
      <c r="L11" s="1">
        <v>82</v>
      </c>
      <c r="M11" s="1">
        <v>93</v>
      </c>
      <c r="N11" s="1">
        <v>77</v>
      </c>
      <c r="O11" s="1">
        <v>85</v>
      </c>
      <c r="P11" s="1">
        <v>92</v>
      </c>
      <c r="Q11" s="1"/>
      <c r="R11" s="1">
        <v>78</v>
      </c>
      <c r="S11" s="1">
        <v>86</v>
      </c>
      <c r="T11" s="1">
        <v>77</v>
      </c>
      <c r="U11" s="1">
        <v>78</v>
      </c>
      <c r="V11" s="1">
        <v>82</v>
      </c>
      <c r="W11" s="1">
        <v>96</v>
      </c>
      <c r="X11" s="1"/>
      <c r="Y11" s="1">
        <v>88</v>
      </c>
      <c r="Z11" s="1">
        <v>93</v>
      </c>
      <c r="AA11" s="1">
        <v>72</v>
      </c>
      <c r="AB11" s="1">
        <v>63</v>
      </c>
      <c r="AC11" s="1">
        <v>78</v>
      </c>
      <c r="AD11" s="1">
        <v>94</v>
      </c>
      <c r="AE11" s="1"/>
      <c r="AF11" s="1">
        <v>75</v>
      </c>
      <c r="AG11" s="1">
        <v>91</v>
      </c>
      <c r="AH11" s="1">
        <v>85</v>
      </c>
      <c r="AI11" s="1">
        <v>93</v>
      </c>
      <c r="AJ11" s="2">
        <f>SUM(Oktober[[#This Row],[1]:[31]])</f>
        <v>2272</v>
      </c>
      <c r="AK11" s="1">
        <f>Oktober[[#This Row],[Totaal aantal km]]*0.4</f>
        <v>908.80000000000007</v>
      </c>
      <c r="AL11" s="10"/>
    </row>
    <row r="12" spans="1:38" ht="30" customHeight="1" thickBot="1" x14ac:dyDescent="0.3">
      <c r="A12" s="12"/>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t="s">
        <v>57</v>
      </c>
      <c r="AK12" s="16">
        <f>SUM(AK6:AK11)</f>
        <v>2795.6000000000004</v>
      </c>
      <c r="AL12" s="10"/>
    </row>
  </sheetData>
  <mergeCells count="1">
    <mergeCell ref="E3:AI3"/>
  </mergeCells>
  <phoneticPr fontId="18" type="noConversion"/>
  <conditionalFormatting sqref="E6:AI11">
    <cfRule type="expression" priority="1" stopIfTrue="1">
      <formula>E6=""</formula>
    </cfRule>
    <cfRule type="expression" dxfId="14" priority="2" stopIfTrue="1">
      <formula>E6=KeyCustom2</formula>
    </cfRule>
    <cfRule type="expression" dxfId="13" priority="3" stopIfTrue="1">
      <formula>E6=KeyCustom1</formula>
    </cfRule>
    <cfRule type="expression" dxfId="12" priority="4" stopIfTrue="1">
      <formula>E6=KeySick</formula>
    </cfRule>
    <cfRule type="expression" dxfId="11" priority="5" stopIfTrue="1">
      <formula>E6=KeyPersonal</formula>
    </cfRule>
    <cfRule type="expression" dxfId="10" priority="6" stopIfTrue="1">
      <formula>E6=KeyVacation</formula>
    </cfRule>
  </conditionalFormatting>
  <conditionalFormatting sqref="AJ6:AJ11">
    <cfRule type="dataBar" priority="535">
      <dataBar>
        <cfvo type="min"/>
        <cfvo type="formula" val="DATEDIF(DATE(CalendarYear,2,1),DATE(CalendarYear,3,1),&quot;d&quot;)"/>
        <color theme="2" tint="-0.249977111117893"/>
      </dataBar>
      <extLst>
        <ext xmlns:x14="http://schemas.microsoft.com/office/spreadsheetml/2009/9/main" uri="{B025F937-C7B1-47D3-B67F-A62EFF666E3E}">
          <x14:id>{F32A08EA-50E8-4B5F-AB1F-5A7739FBC16C}</x14:id>
        </ext>
      </extLst>
    </cfRule>
  </conditionalFormatting>
  <dataValidations count="7">
    <dataValidation allowBlank="1" showInputMessage="1" showErrorMessage="1" prompt="Weekdagen in deze rij worden automatisch bijgewerkt voor de maand, overeenkomstig het jaar in AH4. Elke dag van de maand is een kolom om het verzuim en type verzuim van een werknemer te noteren" sqref="E4 L4 S4 Z4 AG4" xr:uid="{00000000-0002-0000-0900-000000000000}"/>
    <dataValidation allowBlank="1" showInputMessage="1" showErrorMessage="1" prompt="Automatisch bijgewerkt jaar op basis van het jaar dat in het werkblad januari is ingevoerd" sqref="AJ3" xr:uid="{00000000-0002-0000-0900-000001000000}"/>
    <dataValidation allowBlank="1" showInputMessage="1" showErrorMessage="1" prompt="Berekent automatisch het totaal aantal dagen die een werknemer in deze maand niet aanwezig was in deze kolom" sqref="AJ5" xr:uid="{00000000-0002-0000-0900-000002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L5" xr:uid="{00000000-0002-0000-0900-000004000000}"/>
    <dataValidation allowBlank="1" showInputMessage="1" showErrorMessage="1" prompt="De titel wordt automatisch bijgewerkt in deze cel. Als u de titel wilt wijzigen, werk B1 in het januari-werkblad bij" sqref="A1:D1" xr:uid="{00000000-0002-0000-0900-000005000000}"/>
    <dataValidation allowBlank="1" showInputMessage="1" showErrorMessage="1" prompt="De naam van de maand voor dit verzuimschema bevindt zich in deze cel. De absentietotalen voor deze maand staan in de laatste cel van de tabel. Namen van werknemers selecteren in tabelkolom B" sqref="A3:D3 AL4" xr:uid="{00000000-0002-0000-0900-00000C000000}"/>
    <dataValidation allowBlank="1" showInputMessage="1" showErrorMessage="1" prompt="De dagen van de maand in deze rij worden automatisch gegenereerd. Voer voor elke dag van de maand in elke kolom het verzuim en het type verzuim van een werknemer in. Leeg betekent geen verzuim" sqref="E5" xr:uid="{00000000-0002-0000-0900-00000D000000}"/>
  </dataValidations>
  <printOptions horizontalCentered="1"/>
  <pageMargins left="0.25" right="0.25" top="0.75" bottom="0.75" header="0.3" footer="0.3"/>
  <pageSetup paperSize="9" scale="57"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F32A08EA-50E8-4B5F-AB1F-5A7739FBC16C}">
            <x14:dataBar minLength="0" maxLength="100">
              <x14:cfvo type="autoMin"/>
              <x14:cfvo type="formula">
                <xm:f>DATEDIF(DATE(CalendarYear,2,1),DATE(CalendarYear,3,1),"d")</xm:f>
              </x14:cfvo>
              <x14:negativeFillColor rgb="FFFF0000"/>
              <x14:axisColor rgb="FF000000"/>
            </x14:dataBar>
          </x14:cfRule>
          <xm:sqref>AJ6:AJ11</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tabColor theme="2" tint="-0.249977111117893"/>
    <pageSetUpPr fitToPage="1"/>
  </sheetPr>
  <dimension ref="A1:AK11"/>
  <sheetViews>
    <sheetView showGridLines="0" zoomScaleNormal="100" workbookViewId="0">
      <selection activeCell="C9" sqref="C9"/>
    </sheetView>
  </sheetViews>
  <sheetFormatPr defaultRowHeight="30" customHeight="1" x14ac:dyDescent="0.25"/>
  <cols>
    <col min="1" max="1" width="25.7109375" customWidth="1"/>
    <col min="2" max="2" width="15.85546875" style="1" bestFit="1" customWidth="1"/>
    <col min="3" max="3" width="14.7109375" style="1" bestFit="1" customWidth="1"/>
    <col min="4" max="4" width="13.42578125" style="1" bestFit="1" customWidth="1"/>
    <col min="5" max="34" width="4.28515625" customWidth="1"/>
    <col min="35" max="35" width="15.5703125" bestFit="1" customWidth="1"/>
    <col min="36" max="36" width="14.85546875" bestFit="1" customWidth="1"/>
    <col min="37" max="37" width="16.7109375" bestFit="1" customWidth="1"/>
  </cols>
  <sheetData>
    <row r="1" spans="1:37" ht="50.1" customHeight="1" x14ac:dyDescent="0.25">
      <c r="A1" s="4" t="str">
        <f>Employee_Absence_Title</f>
        <v>Kilometer werknemers</v>
      </c>
      <c r="B1" s="17"/>
      <c r="C1" s="17"/>
      <c r="D1" s="17"/>
    </row>
    <row r="2" spans="1:37" ht="15" customHeight="1" x14ac:dyDescent="0.25">
      <c r="A2" s="4"/>
      <c r="B2" s="17"/>
      <c r="C2" s="17"/>
      <c r="D2" s="17"/>
    </row>
    <row r="3" spans="1:37" ht="30" customHeight="1" x14ac:dyDescent="0.25">
      <c r="A3" s="3" t="s">
        <v>54</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3">
        <f>CalendarYear</f>
        <v>2025</v>
      </c>
    </row>
    <row r="4" spans="1:37" ht="15" customHeight="1" x14ac:dyDescent="0.25">
      <c r="A4" s="3"/>
      <c r="B4" s="3"/>
      <c r="C4" s="3"/>
      <c r="D4" s="3"/>
      <c r="E4" s="1" t="str">
        <f>TEXT(WEEKDAY(DATE(CalendarYear,11,1),1),"aaa")</f>
        <v>za</v>
      </c>
      <c r="F4" s="1" t="str">
        <f>TEXT(WEEKDAY(DATE(CalendarYear,11,2),1),"aaa")</f>
        <v>zo</v>
      </c>
      <c r="G4" s="1" t="str">
        <f>TEXT(WEEKDAY(DATE(CalendarYear,11,3),1),"aaa")</f>
        <v>ma</v>
      </c>
      <c r="H4" s="1" t="str">
        <f>TEXT(WEEKDAY(DATE(CalendarYear,11,4),1),"aaa")</f>
        <v>di</v>
      </c>
      <c r="I4" s="1" t="str">
        <f>TEXT(WEEKDAY(DATE(CalendarYear,11,5),1),"aaa")</f>
        <v>wo</v>
      </c>
      <c r="J4" s="1" t="str">
        <f>TEXT(WEEKDAY(DATE(CalendarYear,11,6),1),"aaa")</f>
        <v>do</v>
      </c>
      <c r="K4" s="1" t="str">
        <f>TEXT(WEEKDAY(DATE(CalendarYear,11,7),1),"aaa")</f>
        <v>vr</v>
      </c>
      <c r="L4" s="1" t="str">
        <f>TEXT(WEEKDAY(DATE(CalendarYear,11,1),1),"aaa")</f>
        <v>za</v>
      </c>
      <c r="M4" s="1" t="str">
        <f>TEXT(WEEKDAY(DATE(CalendarYear,11,2),1),"aaa")</f>
        <v>zo</v>
      </c>
      <c r="N4" s="1" t="str">
        <f>TEXT(WEEKDAY(DATE(CalendarYear,11,3),1),"aaa")</f>
        <v>ma</v>
      </c>
      <c r="O4" s="1" t="str">
        <f>TEXT(WEEKDAY(DATE(CalendarYear,11,4),1),"aaa")</f>
        <v>di</v>
      </c>
      <c r="P4" s="1" t="str">
        <f>TEXT(WEEKDAY(DATE(CalendarYear,11,5),1),"aaa")</f>
        <v>wo</v>
      </c>
      <c r="Q4" s="1" t="str">
        <f>TEXT(WEEKDAY(DATE(CalendarYear,11,6),1),"aaa")</f>
        <v>do</v>
      </c>
      <c r="R4" s="1" t="str">
        <f>TEXT(WEEKDAY(DATE(CalendarYear,11,7),1),"aaa")</f>
        <v>vr</v>
      </c>
      <c r="S4" s="1" t="str">
        <f>TEXT(WEEKDAY(DATE(CalendarYear,11,1),1),"aaa")</f>
        <v>za</v>
      </c>
      <c r="T4" s="1" t="str">
        <f>TEXT(WEEKDAY(DATE(CalendarYear,11,2),1),"aaa")</f>
        <v>zo</v>
      </c>
      <c r="U4" s="1" t="str">
        <f>TEXT(WEEKDAY(DATE(CalendarYear,11,3),1),"aaa")</f>
        <v>ma</v>
      </c>
      <c r="V4" s="1" t="str">
        <f>TEXT(WEEKDAY(DATE(CalendarYear,11,4),1),"aaa")</f>
        <v>di</v>
      </c>
      <c r="W4" s="1" t="str">
        <f>TEXT(WEEKDAY(DATE(CalendarYear,11,5),1),"aaa")</f>
        <v>wo</v>
      </c>
      <c r="X4" s="1" t="str">
        <f>TEXT(WEEKDAY(DATE(CalendarYear,11,6),1),"aaa")</f>
        <v>do</v>
      </c>
      <c r="Y4" s="1" t="str">
        <f>TEXT(WEEKDAY(DATE(CalendarYear,11,7),1),"aaa")</f>
        <v>vr</v>
      </c>
      <c r="Z4" s="1" t="str">
        <f>TEXT(WEEKDAY(DATE(CalendarYear,11,1),1),"aaa")</f>
        <v>za</v>
      </c>
      <c r="AA4" s="1" t="str">
        <f>TEXT(WEEKDAY(DATE(CalendarYear,11,2),1),"aaa")</f>
        <v>zo</v>
      </c>
      <c r="AB4" s="1" t="str">
        <f>TEXT(WEEKDAY(DATE(CalendarYear,11,3),1),"aaa")</f>
        <v>ma</v>
      </c>
      <c r="AC4" s="1" t="str">
        <f>TEXT(WEEKDAY(DATE(CalendarYear,11,4),1),"aaa")</f>
        <v>di</v>
      </c>
      <c r="AD4" s="1" t="str">
        <f>TEXT(WEEKDAY(DATE(CalendarYear,11,5),1),"aaa")</f>
        <v>wo</v>
      </c>
      <c r="AE4" s="1" t="str">
        <f>TEXT(WEEKDAY(DATE(CalendarYear,11,6),1),"aaa")</f>
        <v>do</v>
      </c>
      <c r="AF4" s="1" t="str">
        <f>TEXT(WEEKDAY(DATE(CalendarYear,11,7),1),"aaa")</f>
        <v>vr</v>
      </c>
      <c r="AG4" s="1" t="str">
        <f>TEXT(WEEKDAY(DATE(CalendarYear,11,1),1),"aaa")</f>
        <v>za</v>
      </c>
      <c r="AH4" s="1" t="str">
        <f>TEXT(WEEKDAY(DATE(CalendarYear,11,2),1),"aaa")</f>
        <v>zo</v>
      </c>
      <c r="AI4" s="3"/>
      <c r="AJ4" s="11" t="s">
        <v>2</v>
      </c>
      <c r="AK4" s="3"/>
    </row>
    <row r="5" spans="1:37" ht="15" customHeight="1" x14ac:dyDescent="0.25">
      <c r="A5" s="5"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6" t="s">
        <v>38</v>
      </c>
      <c r="AJ5" s="11" t="s">
        <v>56</v>
      </c>
      <c r="AK5" s="9" t="s">
        <v>39</v>
      </c>
    </row>
    <row r="6" spans="1:37" ht="30" customHeight="1" x14ac:dyDescent="0.25">
      <c r="A6" t="s">
        <v>43</v>
      </c>
      <c r="B6" s="1">
        <v>296054</v>
      </c>
      <c r="C6" s="1">
        <v>298852</v>
      </c>
      <c r="D6" s="1" t="s">
        <v>61</v>
      </c>
      <c r="E6">
        <v>102</v>
      </c>
      <c r="F6">
        <v>110</v>
      </c>
      <c r="K6">
        <v>99</v>
      </c>
      <c r="L6">
        <v>102</v>
      </c>
      <c r="M6">
        <v>110</v>
      </c>
      <c r="R6">
        <v>85</v>
      </c>
      <c r="S6">
        <v>78</v>
      </c>
      <c r="T6">
        <v>102</v>
      </c>
      <c r="Y6">
        <v>98</v>
      </c>
      <c r="Z6">
        <v>105</v>
      </c>
      <c r="AA6">
        <v>102</v>
      </c>
      <c r="AF6">
        <v>105</v>
      </c>
      <c r="AG6">
        <v>116</v>
      </c>
      <c r="AH6">
        <v>106</v>
      </c>
      <c r="AI6" s="8">
        <f>SUM(November[[#This Row],[1]:[30]])</f>
        <v>1420</v>
      </c>
      <c r="AJ6" s="1">
        <f>November[[#This Row],[Totaal aantal km]]*0.4</f>
        <v>568</v>
      </c>
      <c r="AK6" s="10"/>
    </row>
    <row r="7" spans="1:37" ht="30" customHeight="1" x14ac:dyDescent="0.25">
      <c r="A7" t="s">
        <v>42</v>
      </c>
      <c r="B7" s="1">
        <v>144852</v>
      </c>
      <c r="C7" s="1">
        <v>146978</v>
      </c>
      <c r="D7" s="1" t="s">
        <v>63</v>
      </c>
      <c r="E7">
        <v>99</v>
      </c>
      <c r="F7">
        <v>92</v>
      </c>
      <c r="I7">
        <v>116</v>
      </c>
      <c r="J7">
        <v>123</v>
      </c>
      <c r="K7">
        <v>88</v>
      </c>
      <c r="L7">
        <v>72</v>
      </c>
      <c r="M7">
        <v>89</v>
      </c>
      <c r="O7">
        <v>95</v>
      </c>
      <c r="S7">
        <v>83</v>
      </c>
      <c r="T7">
        <v>91</v>
      </c>
      <c r="W7">
        <v>109</v>
      </c>
      <c r="X7">
        <v>116</v>
      </c>
      <c r="Y7">
        <v>109</v>
      </c>
      <c r="Z7">
        <v>117</v>
      </c>
      <c r="AA7">
        <v>113</v>
      </c>
      <c r="AG7">
        <v>129</v>
      </c>
      <c r="AH7">
        <v>117</v>
      </c>
      <c r="AI7" s="8">
        <f>SUM(November[[#This Row],[1]:[30]])</f>
        <v>1758</v>
      </c>
      <c r="AJ7" s="1">
        <f>November[[#This Row],[Totaal aantal km]]*0.4</f>
        <v>703.2</v>
      </c>
      <c r="AK7" s="10"/>
    </row>
    <row r="8" spans="1:37" ht="30" customHeight="1" x14ac:dyDescent="0.25">
      <c r="A8" t="s">
        <v>40</v>
      </c>
      <c r="B8" s="1">
        <v>240042</v>
      </c>
      <c r="C8" s="1">
        <v>242524</v>
      </c>
      <c r="D8" s="1" t="s">
        <v>62</v>
      </c>
      <c r="E8">
        <v>98</v>
      </c>
      <c r="F8">
        <v>92</v>
      </c>
      <c r="L8">
        <v>125</v>
      </c>
      <c r="M8">
        <v>102</v>
      </c>
      <c r="T8">
        <v>110</v>
      </c>
      <c r="Z8">
        <v>123</v>
      </c>
      <c r="AA8">
        <v>125</v>
      </c>
      <c r="AG8">
        <v>108</v>
      </c>
      <c r="AH8">
        <v>124</v>
      </c>
      <c r="AI8" s="8">
        <f>SUM(November[[#This Row],[1]:[30]])</f>
        <v>1007</v>
      </c>
      <c r="AJ8" s="1">
        <f>November[[#This Row],[Totaal aantal km]]*0.4</f>
        <v>402.8</v>
      </c>
      <c r="AK8" s="10"/>
    </row>
    <row r="9" spans="1:37" ht="30" customHeight="1" x14ac:dyDescent="0.25">
      <c r="A9" t="s">
        <v>41</v>
      </c>
      <c r="B9" s="1">
        <v>305120</v>
      </c>
      <c r="C9" s="1">
        <v>308245</v>
      </c>
      <c r="D9" s="1" t="s">
        <v>66</v>
      </c>
      <c r="E9">
        <v>87</v>
      </c>
      <c r="F9">
        <v>83</v>
      </c>
      <c r="K9">
        <v>98</v>
      </c>
      <c r="M9">
        <v>93</v>
      </c>
      <c r="O9">
        <v>98</v>
      </c>
      <c r="P9">
        <v>95</v>
      </c>
      <c r="Q9">
        <v>104</v>
      </c>
      <c r="R9">
        <v>81</v>
      </c>
      <c r="S9">
        <v>92</v>
      </c>
      <c r="T9">
        <v>71</v>
      </c>
      <c r="V9">
        <v>103</v>
      </c>
      <c r="W9">
        <v>115</v>
      </c>
      <c r="Z9">
        <v>104</v>
      </c>
      <c r="AA9">
        <v>109</v>
      </c>
      <c r="AC9">
        <v>117</v>
      </c>
      <c r="AD9">
        <v>125</v>
      </c>
      <c r="AF9">
        <v>125</v>
      </c>
      <c r="AG9">
        <v>116</v>
      </c>
      <c r="AH9">
        <v>107</v>
      </c>
      <c r="AI9" s="8">
        <f>SUM(November[[#This Row],[1]:[30]])</f>
        <v>1923</v>
      </c>
      <c r="AJ9" s="1">
        <f>November[[#This Row],[Totaal aantal km]]*0.4</f>
        <v>769.2</v>
      </c>
      <c r="AK9" s="10"/>
    </row>
    <row r="10" spans="1:37" ht="30" customHeight="1" x14ac:dyDescent="0.25">
      <c r="A10" t="s">
        <v>67</v>
      </c>
      <c r="E10" s="1">
        <v>96</v>
      </c>
      <c r="F10" s="1">
        <v>85</v>
      </c>
      <c r="G10" s="1"/>
      <c r="H10" s="1">
        <v>77</v>
      </c>
      <c r="I10" s="1">
        <v>92</v>
      </c>
      <c r="J10" s="1">
        <v>88</v>
      </c>
      <c r="K10" s="1">
        <v>76</v>
      </c>
      <c r="L10" s="1">
        <v>72</v>
      </c>
      <c r="M10" s="1">
        <v>85</v>
      </c>
      <c r="N10" s="1"/>
      <c r="O10" s="1">
        <v>88</v>
      </c>
      <c r="P10" s="1">
        <v>71</v>
      </c>
      <c r="Q10" s="1">
        <v>89</v>
      </c>
      <c r="R10" s="1">
        <v>72</v>
      </c>
      <c r="S10" s="1">
        <v>85</v>
      </c>
      <c r="T10" s="1">
        <v>92</v>
      </c>
      <c r="U10" s="1"/>
      <c r="V10" s="1">
        <v>81</v>
      </c>
      <c r="W10" s="1">
        <v>95</v>
      </c>
      <c r="X10" s="1">
        <v>89</v>
      </c>
      <c r="Y10" s="1">
        <v>87</v>
      </c>
      <c r="Z10" s="1">
        <v>92</v>
      </c>
      <c r="AA10" s="1">
        <v>96</v>
      </c>
      <c r="AB10" s="1"/>
      <c r="AC10" s="1">
        <v>94</v>
      </c>
      <c r="AD10" s="1">
        <v>91</v>
      </c>
      <c r="AE10" s="1">
        <v>102</v>
      </c>
      <c r="AF10" s="1">
        <v>104</v>
      </c>
      <c r="AG10" s="1">
        <v>96</v>
      </c>
      <c r="AH10" s="1">
        <v>91</v>
      </c>
      <c r="AI10" s="2">
        <f>SUM(November[[#This Row],[1]:[30]])</f>
        <v>2286</v>
      </c>
      <c r="AJ10" s="1">
        <f>November[[#This Row],[Totaal aantal km]]*0.4</f>
        <v>914.40000000000009</v>
      </c>
      <c r="AK10" s="10"/>
    </row>
    <row r="11" spans="1:37" ht="30" customHeight="1" thickBot="1" x14ac:dyDescent="0.3">
      <c r="A11" s="12"/>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t="s">
        <v>57</v>
      </c>
      <c r="AJ11" s="16">
        <f>SUM(AJ6:AJ10)</f>
        <v>3357.6</v>
      </c>
      <c r="AK11" s="10"/>
    </row>
  </sheetData>
  <mergeCells count="1">
    <mergeCell ref="E3:AH3"/>
  </mergeCells>
  <phoneticPr fontId="18" type="noConversion"/>
  <conditionalFormatting sqref="E6:AH10">
    <cfRule type="expression" priority="1" stopIfTrue="1">
      <formula>E6=""</formula>
    </cfRule>
    <cfRule type="expression" dxfId="9" priority="2" stopIfTrue="1">
      <formula>E6=KeyCustom2</formula>
    </cfRule>
    <cfRule type="expression" dxfId="8" priority="3" stopIfTrue="1">
      <formula>E6=KeyCustom1</formula>
    </cfRule>
    <cfRule type="expression" dxfId="7" priority="4" stopIfTrue="1">
      <formula>E6=KeySick</formula>
    </cfRule>
    <cfRule type="expression" dxfId="6" priority="5" stopIfTrue="1">
      <formula>E6=KeyPersonal</formula>
    </cfRule>
    <cfRule type="expression" dxfId="5" priority="6" stopIfTrue="1">
      <formula>E6=KeyVacation</formula>
    </cfRule>
  </conditionalFormatting>
  <conditionalFormatting sqref="AI6:AI10">
    <cfRule type="dataBar" priority="561">
      <dataBar>
        <cfvo type="min"/>
        <cfvo type="formula" val="DATEDIF(DATE(CalendarYear,2,1),DATE(CalendarYear,3,1),&quot;d&quot;)"/>
        <color theme="2" tint="-0.249977111117893"/>
      </dataBar>
      <extLst>
        <ext xmlns:x14="http://schemas.microsoft.com/office/spreadsheetml/2009/9/main" uri="{B025F937-C7B1-47D3-B67F-A62EFF666E3E}">
          <x14:id>{27D92E49-5CF1-46DF-AD7A-3A5E92F274F3}</x14:id>
        </ext>
      </extLst>
    </cfRule>
  </conditionalFormatting>
  <dataValidations count="7">
    <dataValidation allowBlank="1" showInputMessage="1" showErrorMessage="1" prompt="De dagen van de maand in deze rij worden automatisch gegenereerd. Voer voor elke dag van de maand in elke kolom het verzuim en het type verzuim van een werknemer in. Leeg betekent geen verzuim" sqref="E5" xr:uid="{00000000-0002-0000-0A00-000000000000}"/>
    <dataValidation allowBlank="1" showInputMessage="1" showErrorMessage="1" prompt="De naam van de maand voor dit verzuimschema bevindt zich in deze cel. De absentietotalen voor deze maand staan in de laatste cel van de tabel. Namen van werknemers selecteren in tabelkolom B" sqref="A3:D3 AK4" xr:uid="{00000000-0002-0000-0A00-000001000000}"/>
    <dataValidation allowBlank="1" showInputMessage="1" showErrorMessage="1" prompt="De titel wordt automatisch bijgewerkt in deze cel. Als u de titel wilt wijzigen, werk B1 in het januari-werkblad bij" sqref="A1:D1" xr:uid="{00000000-0002-0000-0A00-000008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K5" xr:uid="{00000000-0002-0000-0A00-000009000000}"/>
    <dataValidation allowBlank="1" showInputMessage="1" showErrorMessage="1" prompt="Berekent automatisch het totaal aantal dagen die een werknemer in deze maand niet aanwezig was in deze kolom" sqref="AI5" xr:uid="{00000000-0002-0000-0A00-00000B000000}"/>
    <dataValidation allowBlank="1" showInputMessage="1" showErrorMessage="1" prompt="Automatisch bijgewerkt jaar op basis van het jaar dat in het werkblad januari is ingevoerd" sqref="AI3" xr:uid="{00000000-0002-0000-0A00-00000C000000}"/>
    <dataValidation allowBlank="1" showInputMessage="1" showErrorMessage="1" prompt="Weekdagen in deze rij worden automatisch bijgewerkt voor de maand, overeenkomstig het jaar in AH4. Elke dag van de maand is een kolom om het verzuim en type verzuim van een werknemer te noteren" sqref="E4 L4 S4 Z4 AG4" xr:uid="{00000000-0002-0000-0A00-00000D000000}"/>
  </dataValidations>
  <printOptions horizontalCentered="1"/>
  <pageMargins left="0.25" right="0.25" top="0.75" bottom="0.75" header="0.3" footer="0.3"/>
  <pageSetup paperSize="9" scale="58"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7D92E49-5CF1-46DF-AD7A-3A5E92F274F3}">
            <x14:dataBar minLength="0" maxLength="100">
              <x14:cfvo type="autoMin"/>
              <x14:cfvo type="formula">
                <xm:f>DATEDIF(DATE(CalendarYear,2,1),DATE(CalendarYear,3,1),"d")</xm:f>
              </x14:cfvo>
              <x14:negativeFillColor rgb="FFFF0000"/>
              <x14:axisColor rgb="FF000000"/>
            </x14:dataBar>
          </x14:cfRule>
          <xm:sqref>AI6:AI10</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tabColor theme="7" tint="0.79998168889431442"/>
    <pageSetUpPr fitToPage="1"/>
  </sheetPr>
  <dimension ref="A1:AL11"/>
  <sheetViews>
    <sheetView showGridLines="0" tabSelected="1" zoomScaleNormal="100" workbookViewId="0">
      <selection activeCell="AF10" sqref="AF10"/>
    </sheetView>
  </sheetViews>
  <sheetFormatPr defaultRowHeight="30" customHeight="1" x14ac:dyDescent="0.25"/>
  <cols>
    <col min="1" max="1" width="25.7109375" customWidth="1"/>
    <col min="2" max="2" width="15.85546875" style="1" bestFit="1" customWidth="1"/>
    <col min="3" max="3" width="14.7109375" style="1" bestFit="1" customWidth="1"/>
    <col min="4" max="4" width="13.42578125" style="1" bestFit="1" customWidth="1"/>
    <col min="5" max="35" width="4.28515625" customWidth="1"/>
    <col min="36" max="36" width="15.5703125" bestFit="1" customWidth="1"/>
    <col min="37" max="37" width="14.85546875" bestFit="1" customWidth="1"/>
    <col min="38" max="38" width="16.7109375" bestFit="1" customWidth="1"/>
  </cols>
  <sheetData>
    <row r="1" spans="1:38" ht="50.1" customHeight="1" x14ac:dyDescent="0.25">
      <c r="A1" s="4" t="str">
        <f>Employee_Absence_Title</f>
        <v>Kilometer werknemers</v>
      </c>
      <c r="B1" s="17"/>
      <c r="C1" s="17"/>
      <c r="D1" s="17"/>
    </row>
    <row r="2" spans="1:38" ht="15" customHeight="1" x14ac:dyDescent="0.25">
      <c r="A2" s="4"/>
      <c r="B2" s="17"/>
      <c r="C2" s="17"/>
      <c r="D2" s="17"/>
    </row>
    <row r="3" spans="1:38" ht="30" customHeight="1" x14ac:dyDescent="0.25">
      <c r="A3" s="3" t="s">
        <v>55</v>
      </c>
      <c r="B3" s="3"/>
      <c r="C3" s="3"/>
      <c r="D3" s="3"/>
      <c r="E3" s="27" t="s">
        <v>1</v>
      </c>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3">
        <f>CalendarYear</f>
        <v>2025</v>
      </c>
    </row>
    <row r="4" spans="1:38" ht="15" customHeight="1" x14ac:dyDescent="0.25">
      <c r="A4" s="3"/>
      <c r="B4" s="3"/>
      <c r="C4" s="3"/>
      <c r="D4" s="3"/>
      <c r="E4" s="1" t="str">
        <f>TEXT(WEEKDAY(DATE(CalendarYear,12,1),1),"aaa")</f>
        <v>ma</v>
      </c>
      <c r="F4" s="1" t="str">
        <f>TEXT(WEEKDAY(DATE(CalendarYear,12,2),1),"aaa")</f>
        <v>di</v>
      </c>
      <c r="G4" s="1" t="str">
        <f>TEXT(WEEKDAY(DATE(CalendarYear,12,3),1),"aaa")</f>
        <v>wo</v>
      </c>
      <c r="H4" s="1" t="str">
        <f>TEXT(WEEKDAY(DATE(CalendarYear,12,4),1),"aaa")</f>
        <v>do</v>
      </c>
      <c r="I4" s="1" t="str">
        <f>TEXT(WEEKDAY(DATE(CalendarYear,12,5),1),"aaa")</f>
        <v>vr</v>
      </c>
      <c r="J4" s="1" t="str">
        <f>TEXT(WEEKDAY(DATE(CalendarYear,12,6),1),"aaa")</f>
        <v>za</v>
      </c>
      <c r="K4" s="1" t="str">
        <f>TEXT(WEEKDAY(DATE(CalendarYear,12,7),1),"aaa")</f>
        <v>zo</v>
      </c>
      <c r="L4" s="1" t="str">
        <f>TEXT(WEEKDAY(DATE(CalendarYear,12,1),1),"aaa")</f>
        <v>ma</v>
      </c>
      <c r="M4" s="1" t="str">
        <f>TEXT(WEEKDAY(DATE(CalendarYear,12,2),1),"aaa")</f>
        <v>di</v>
      </c>
      <c r="N4" s="1" t="str">
        <f>TEXT(WEEKDAY(DATE(CalendarYear,12,3),1),"aaa")</f>
        <v>wo</v>
      </c>
      <c r="O4" s="1" t="str">
        <f>TEXT(WEEKDAY(DATE(CalendarYear,12,4),1),"aaa")</f>
        <v>do</v>
      </c>
      <c r="P4" s="1" t="str">
        <f>TEXT(WEEKDAY(DATE(CalendarYear,12,5),1),"aaa")</f>
        <v>vr</v>
      </c>
      <c r="Q4" s="1" t="str">
        <f>TEXT(WEEKDAY(DATE(CalendarYear,12,6),1),"aaa")</f>
        <v>za</v>
      </c>
      <c r="R4" s="1" t="str">
        <f>TEXT(WEEKDAY(DATE(CalendarYear,12,7),1),"aaa")</f>
        <v>zo</v>
      </c>
      <c r="S4" s="1" t="str">
        <f>TEXT(WEEKDAY(DATE(CalendarYear,12,1),1),"aaa")</f>
        <v>ma</v>
      </c>
      <c r="T4" s="1" t="str">
        <f>TEXT(WEEKDAY(DATE(CalendarYear,12,2),1),"aaa")</f>
        <v>di</v>
      </c>
      <c r="U4" s="1" t="str">
        <f>TEXT(WEEKDAY(DATE(CalendarYear,12,3),1),"aaa")</f>
        <v>wo</v>
      </c>
      <c r="V4" s="1" t="str">
        <f>TEXT(WEEKDAY(DATE(CalendarYear,12,4),1),"aaa")</f>
        <v>do</v>
      </c>
      <c r="W4" s="1" t="str">
        <f>TEXT(WEEKDAY(DATE(CalendarYear,12,5),1),"aaa")</f>
        <v>vr</v>
      </c>
      <c r="X4" s="1" t="str">
        <f>TEXT(WEEKDAY(DATE(CalendarYear,12,6),1),"aaa")</f>
        <v>za</v>
      </c>
      <c r="Y4" s="1" t="str">
        <f>TEXT(WEEKDAY(DATE(CalendarYear,12,7),1),"aaa")</f>
        <v>zo</v>
      </c>
      <c r="Z4" s="1" t="str">
        <f>TEXT(WEEKDAY(DATE(CalendarYear,12,1),1),"aaa")</f>
        <v>ma</v>
      </c>
      <c r="AA4" s="1" t="str">
        <f>TEXT(WEEKDAY(DATE(CalendarYear,12,2),1),"aaa")</f>
        <v>di</v>
      </c>
      <c r="AB4" s="1" t="str">
        <f>TEXT(WEEKDAY(DATE(CalendarYear,12,3),1),"aaa")</f>
        <v>wo</v>
      </c>
      <c r="AC4" s="1" t="str">
        <f>TEXT(WEEKDAY(DATE(CalendarYear,12,4),1),"aaa")</f>
        <v>do</v>
      </c>
      <c r="AD4" s="1" t="str">
        <f>TEXT(WEEKDAY(DATE(CalendarYear,12,5),1),"aaa")</f>
        <v>vr</v>
      </c>
      <c r="AE4" s="1" t="str">
        <f>TEXT(WEEKDAY(DATE(CalendarYear,12,6),1),"aaa")</f>
        <v>za</v>
      </c>
      <c r="AF4" s="1" t="str">
        <f>TEXT(WEEKDAY(DATE(CalendarYear,12,7),1),"aaa")</f>
        <v>zo</v>
      </c>
      <c r="AG4" s="1" t="str">
        <f>TEXT(WEEKDAY(DATE(CalendarYear,12,1),1),"aaa")</f>
        <v>ma</v>
      </c>
      <c r="AH4" s="1" t="str">
        <f>TEXT(WEEKDAY(DATE(CalendarYear,12,2),1),"aaa")</f>
        <v>di</v>
      </c>
      <c r="AI4" s="1" t="str">
        <f>TEXT(WEEKDAY(DATE(CalendarYear,12,3),1),"aaa")</f>
        <v>wo</v>
      </c>
      <c r="AJ4" s="3"/>
      <c r="AK4" s="11" t="s">
        <v>2</v>
      </c>
      <c r="AL4" s="3"/>
    </row>
    <row r="5" spans="1:38" ht="15" customHeight="1" x14ac:dyDescent="0.25">
      <c r="A5" s="5"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1" t="s">
        <v>37</v>
      </c>
      <c r="AJ5" s="6" t="s">
        <v>38</v>
      </c>
      <c r="AK5" s="11" t="s">
        <v>56</v>
      </c>
      <c r="AL5" s="9" t="s">
        <v>39</v>
      </c>
    </row>
    <row r="6" spans="1:38" ht="30" customHeight="1" x14ac:dyDescent="0.25">
      <c r="A6" t="s">
        <v>43</v>
      </c>
      <c r="B6" s="1">
        <v>298852</v>
      </c>
      <c r="D6" s="1" t="s">
        <v>61</v>
      </c>
      <c r="I6">
        <v>92</v>
      </c>
      <c r="J6">
        <v>97</v>
      </c>
      <c r="K6">
        <v>108</v>
      </c>
      <c r="P6">
        <v>117</v>
      </c>
      <c r="Q6">
        <v>106</v>
      </c>
      <c r="R6">
        <v>109</v>
      </c>
      <c r="W6">
        <v>98</v>
      </c>
      <c r="X6">
        <v>106</v>
      </c>
      <c r="Y6">
        <v>115</v>
      </c>
      <c r="AD6">
        <v>95</v>
      </c>
      <c r="AE6">
        <v>98</v>
      </c>
      <c r="AF6">
        <v>102</v>
      </c>
      <c r="AJ6" s="8">
        <f>SUM(December[[#This Row],[1]:[31]])</f>
        <v>1243</v>
      </c>
      <c r="AK6" s="1">
        <f>December[[#This Row],[Totaal aantal km]]*0.4</f>
        <v>497.20000000000005</v>
      </c>
      <c r="AL6" s="10"/>
    </row>
    <row r="7" spans="1:38" ht="30" customHeight="1" x14ac:dyDescent="0.25">
      <c r="A7" t="s">
        <v>42</v>
      </c>
      <c r="B7" s="1">
        <v>146978</v>
      </c>
      <c r="D7" s="1" t="s">
        <v>63</v>
      </c>
      <c r="G7">
        <v>114</v>
      </c>
      <c r="H7">
        <v>123</v>
      </c>
      <c r="I7">
        <v>92</v>
      </c>
      <c r="J7">
        <v>82</v>
      </c>
      <c r="K7">
        <v>87</v>
      </c>
      <c r="Q7">
        <v>95</v>
      </c>
      <c r="R7">
        <v>93</v>
      </c>
      <c r="U7">
        <v>124</v>
      </c>
      <c r="V7">
        <v>117</v>
      </c>
      <c r="W7">
        <v>92</v>
      </c>
      <c r="X7">
        <v>93</v>
      </c>
      <c r="Y7">
        <v>94</v>
      </c>
      <c r="AC7">
        <v>80</v>
      </c>
      <c r="AE7">
        <v>91</v>
      </c>
      <c r="AF7">
        <v>92</v>
      </c>
      <c r="AJ7" s="8">
        <f>SUM(December[[#This Row],[1]:[31]])</f>
        <v>1469</v>
      </c>
      <c r="AK7" s="1">
        <f>December[[#This Row],[Totaal aantal km]]*0.4</f>
        <v>587.6</v>
      </c>
      <c r="AL7" s="10"/>
    </row>
    <row r="8" spans="1:38" ht="30" customHeight="1" x14ac:dyDescent="0.25">
      <c r="A8" t="s">
        <v>40</v>
      </c>
      <c r="B8" s="1">
        <v>242524</v>
      </c>
      <c r="D8" s="1" t="s">
        <v>62</v>
      </c>
      <c r="J8">
        <v>102</v>
      </c>
      <c r="K8">
        <v>108</v>
      </c>
      <c r="Q8">
        <v>109</v>
      </c>
      <c r="R8">
        <v>115</v>
      </c>
      <c r="X8">
        <v>112</v>
      </c>
      <c r="Y8">
        <v>97</v>
      </c>
      <c r="AE8">
        <v>102</v>
      </c>
      <c r="AF8">
        <v>108</v>
      </c>
      <c r="AJ8" s="8">
        <f>SUM(December[[#This Row],[1]:[31]])</f>
        <v>853</v>
      </c>
      <c r="AK8" s="1">
        <f>December[[#This Row],[Totaal aantal km]]*0.4</f>
        <v>341.20000000000005</v>
      </c>
      <c r="AL8" s="10"/>
    </row>
    <row r="9" spans="1:38" ht="30" customHeight="1" x14ac:dyDescent="0.25">
      <c r="A9" t="s">
        <v>41</v>
      </c>
      <c r="B9" s="1">
        <v>308245</v>
      </c>
      <c r="C9" s="18"/>
      <c r="D9" s="1" t="s">
        <v>66</v>
      </c>
      <c r="F9">
        <v>114</v>
      </c>
      <c r="G9">
        <v>123</v>
      </c>
      <c r="I9">
        <v>85</v>
      </c>
      <c r="K9">
        <v>99</v>
      </c>
      <c r="Q9">
        <v>92</v>
      </c>
      <c r="R9">
        <v>91</v>
      </c>
      <c r="T9">
        <v>112</v>
      </c>
      <c r="U9">
        <v>114</v>
      </c>
      <c r="W9">
        <v>95</v>
      </c>
      <c r="X9">
        <v>91</v>
      </c>
      <c r="Y9">
        <v>85</v>
      </c>
      <c r="AA9">
        <v>108</v>
      </c>
      <c r="AD9">
        <v>98</v>
      </c>
      <c r="AE9">
        <v>93</v>
      </c>
      <c r="AF9">
        <v>94</v>
      </c>
      <c r="AJ9" s="8">
        <f>SUM(December[[#This Row],[1]:[31]])</f>
        <v>1494</v>
      </c>
      <c r="AK9" s="1">
        <f>December[[#This Row],[Totaal aantal km]]*0.4</f>
        <v>597.6</v>
      </c>
      <c r="AL9" s="10"/>
    </row>
    <row r="10" spans="1:38" ht="30" customHeight="1" x14ac:dyDescent="0.25">
      <c r="A10" t="s">
        <v>67</v>
      </c>
      <c r="E10" s="1"/>
      <c r="F10" s="1">
        <v>95</v>
      </c>
      <c r="G10" s="1">
        <v>88</v>
      </c>
      <c r="H10" s="1">
        <v>92</v>
      </c>
      <c r="I10" s="1">
        <v>95</v>
      </c>
      <c r="J10" s="1">
        <v>85</v>
      </c>
      <c r="K10" s="1">
        <v>78</v>
      </c>
      <c r="L10" s="1"/>
      <c r="M10" s="1">
        <v>81</v>
      </c>
      <c r="N10" s="1">
        <v>96</v>
      </c>
      <c r="O10" s="1">
        <v>78</v>
      </c>
      <c r="P10" s="1">
        <v>68</v>
      </c>
      <c r="Q10" s="1">
        <v>72</v>
      </c>
      <c r="R10" s="1">
        <v>82</v>
      </c>
      <c r="S10" s="1"/>
      <c r="T10" s="1">
        <v>75</v>
      </c>
      <c r="U10" s="1">
        <v>88</v>
      </c>
      <c r="V10" s="1">
        <v>92</v>
      </c>
      <c r="W10" s="1">
        <v>78</v>
      </c>
      <c r="X10" s="1">
        <v>85</v>
      </c>
      <c r="Y10" s="1">
        <v>95</v>
      </c>
      <c r="Z10" s="1"/>
      <c r="AA10" s="1">
        <v>88</v>
      </c>
      <c r="AB10" s="1"/>
      <c r="AC10" s="1">
        <v>92</v>
      </c>
      <c r="AD10" s="1">
        <v>82</v>
      </c>
      <c r="AE10" s="1">
        <v>78</v>
      </c>
      <c r="AF10" s="1">
        <v>74</v>
      </c>
      <c r="AG10" s="1"/>
      <c r="AH10" s="1"/>
      <c r="AI10" s="1"/>
      <c r="AJ10" s="2">
        <f>SUM(December[[#This Row],[1]:[31]])</f>
        <v>1937</v>
      </c>
      <c r="AK10" s="1">
        <f>December[[#This Row],[Totaal aantal km]]*0.4</f>
        <v>774.80000000000007</v>
      </c>
      <c r="AL10" s="10"/>
    </row>
    <row r="11" spans="1:38" ht="30" customHeight="1" thickBot="1" x14ac:dyDescent="0.3">
      <c r="A11" s="12"/>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t="s">
        <v>57</v>
      </c>
      <c r="AK11" s="16">
        <f>SUM(AK6:AK10)</f>
        <v>2798.4000000000005</v>
      </c>
      <c r="AL11" s="10"/>
    </row>
  </sheetData>
  <mergeCells count="1">
    <mergeCell ref="E3:AI3"/>
  </mergeCells>
  <conditionalFormatting sqref="E6:AI10">
    <cfRule type="expression" priority="1" stopIfTrue="1">
      <formula>E6=""</formula>
    </cfRule>
    <cfRule type="expression" dxfId="4" priority="2" stopIfTrue="1">
      <formula>E6=KeyCustom2</formula>
    </cfRule>
    <cfRule type="expression" dxfId="3" priority="3" stopIfTrue="1">
      <formula>E6=KeyCustom1</formula>
    </cfRule>
    <cfRule type="expression" dxfId="2" priority="4" stopIfTrue="1">
      <formula>E6=KeySick</formula>
    </cfRule>
    <cfRule type="expression" dxfId="1" priority="5" stopIfTrue="1">
      <formula>E6=KeyPersonal</formula>
    </cfRule>
    <cfRule type="expression" dxfId="0" priority="6" stopIfTrue="1">
      <formula>E6=KeyVacation</formula>
    </cfRule>
  </conditionalFormatting>
  <conditionalFormatting sqref="AJ6:AJ10">
    <cfRule type="dataBar" priority="587">
      <dataBar>
        <cfvo type="min"/>
        <cfvo type="formula" val="DATEDIF(DATE(CalendarYear,2,1),DATE(CalendarYear,3,1),&quot;d&quot;)"/>
        <color theme="2" tint="-0.249977111117893"/>
      </dataBar>
      <extLst>
        <ext xmlns:x14="http://schemas.microsoft.com/office/spreadsheetml/2009/9/main" uri="{B025F937-C7B1-47D3-B67F-A62EFF666E3E}">
          <x14:id>{17586780-365B-4F4C-BBB4-F5991705D361}</x14:id>
        </ext>
      </extLst>
    </cfRule>
  </conditionalFormatting>
  <dataValidations count="7">
    <dataValidation allowBlank="1" showInputMessage="1" showErrorMessage="1" prompt="Automatisch bijgewerkt jaar op basis van het jaar dat in het werkblad januari is ingevoerd" sqref="AJ3" xr:uid="{00000000-0002-0000-0B00-000000000000}"/>
    <dataValidation allowBlank="1" showInputMessage="1" showErrorMessage="1" prompt="Berekent automatisch het totaal aantal dagen die een werknemer in deze maand niet aanwezig was in deze kolom" sqref="AJ5" xr:uid="{00000000-0002-0000-0B00-000001000000}"/>
    <dataValidation errorStyle="warning" allowBlank="1" showInputMessage="1" showErrorMessage="1" error="Selecteer een naam in de lijst. Selecteer ANNULEREN, druk dan op ALT+PIJL-OMLAAG en vervolgens op ENTER om een naam te selecteren" prompt="Voer de werknemersnamen in het Werknemersnamen werkblad en selecteer vervolgens een van die namen van de lijst in deze kolom. Druk op ALT+PIJL-OMLAAG en daarna ENTER om een naam te selecteren" sqref="A5:D5 AL5" xr:uid="{00000000-0002-0000-0B00-000003000000}"/>
    <dataValidation allowBlank="1" showInputMessage="1" showErrorMessage="1" prompt="De titel wordt automatisch bijgewerkt in deze cel. Als u de titel wilt wijzigen, werk B1 in het januari-werkblad bij" sqref="A1:D1" xr:uid="{00000000-0002-0000-0B00-000004000000}"/>
    <dataValidation allowBlank="1" showInputMessage="1" showErrorMessage="1" prompt="De naam van de maand voor dit verzuimschema bevindt zich in deze cel. De absentietotalen voor deze maand staan in de laatste cel van de tabel. Namen van werknemers selecteren in tabelkolom B" sqref="A3:D3 AL4" xr:uid="{00000000-0002-0000-0B00-00000B000000}"/>
    <dataValidation allowBlank="1" showInputMessage="1" showErrorMessage="1" prompt="Weekdagen in deze rij worden automatisch bijgewerkt voor de maand, overeenkomstig het jaar in AH4. Elke dag van de maand is een kolom om het verzuim en type verzuim van een werknemer te noteren" sqref="E4 L4 S4 Z4 AG4" xr:uid="{00000000-0002-0000-0B00-00000C000000}"/>
    <dataValidation allowBlank="1" showInputMessage="1" showErrorMessage="1" prompt="De dagen van de maand in deze rij worden automatisch gegenereerd. Voer voor elke dag van de maand in elke kolom het verzuim en het type verzuim van een werknemer in. Leeg betekent geen verzuim" sqref="E5" xr:uid="{00000000-0002-0000-0B00-00000D000000}"/>
  </dataValidations>
  <printOptions horizontalCentered="1"/>
  <pageMargins left="0.25" right="0.25" top="0.75" bottom="0.75" header="0.3" footer="0.3"/>
  <pageSetup paperSize="9" scale="72"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17586780-365B-4F4C-BBB4-F5991705D361}">
            <x14:dataBar minLength="0" maxLength="100">
              <x14:cfvo type="autoMin"/>
              <x14:cfvo type="formula">
                <xm:f>DATEDIF(DATE(CalendarYear,2,1),DATE(CalendarYear,3,1),"d")</xm:f>
              </x14:cfvo>
              <x14:negativeFillColor rgb="FFFF0000"/>
              <x14:axisColor rgb="FF000000"/>
            </x14:dataBar>
          </x14:cfRule>
          <xm:sqref>AJ6:AJ10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46261B-5877-4F99-86F1-C9E84FF0E0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TM03987167</Template>
  <Application>Microsoft Excel</Application>
  <DocSecurity>0</DocSecurity>
  <ScaleCrop>false</ScaleCrop>
  <HeadingPairs>
    <vt:vector size="4" baseType="variant">
      <vt:variant>
        <vt:lpstr>Werkbladen</vt:lpstr>
      </vt:variant>
      <vt:variant>
        <vt:i4>12</vt:i4>
      </vt:variant>
      <vt:variant>
        <vt:lpstr>Benoemde bereiken</vt:lpstr>
      </vt:variant>
      <vt:variant>
        <vt:i4>49</vt:i4>
      </vt:variant>
    </vt:vector>
  </HeadingPairs>
  <TitlesOfParts>
    <vt:vector size="61" baseType="lpstr">
      <vt:lpstr>Januari</vt:lpstr>
      <vt:lpstr>Februari</vt:lpstr>
      <vt:lpstr>Maart</vt:lpstr>
      <vt:lpstr>April</vt:lpstr>
      <vt:lpstr>Mei</vt:lpstr>
      <vt:lpstr>Juni</vt:lpstr>
      <vt:lpstr>Juli</vt:lpstr>
      <vt:lpstr>Augustus</vt:lpstr>
      <vt:lpstr>September</vt:lpstr>
      <vt:lpstr>Oktober</vt:lpstr>
      <vt:lpstr>November</vt:lpstr>
      <vt:lpstr>December</vt:lpstr>
      <vt:lpstr>April!Afdruktitels</vt:lpstr>
      <vt:lpstr>Augustus!Afdruktitels</vt:lpstr>
      <vt:lpstr>December!Afdruktitels</vt:lpstr>
      <vt:lpstr>Februari!Afdruktitels</vt:lpstr>
      <vt:lpstr>Januari!Afdruktitels</vt:lpstr>
      <vt:lpstr>Juli!Afdruktitels</vt:lpstr>
      <vt:lpstr>Juni!Afdruktitels</vt:lpstr>
      <vt:lpstr>Maart!Afdruktitels</vt:lpstr>
      <vt:lpstr>Mei!Afdruktitels</vt:lpstr>
      <vt:lpstr>November!Afdruktitels</vt:lpstr>
      <vt:lpstr>Oktober!Afdruktitels</vt:lpstr>
      <vt:lpstr>September!Afdruktitels</vt:lpstr>
      <vt:lpstr>CalendarYear</vt:lpstr>
      <vt:lpstr>Employee_Absence_Title</vt:lpstr>
      <vt:lpstr>Key_name</vt:lpstr>
      <vt:lpstr>KeyCustom1</vt:lpstr>
      <vt:lpstr>KeyCustom1Label</vt:lpstr>
      <vt:lpstr>KeyCustom2</vt:lpstr>
      <vt:lpstr>KeyCustom2Label</vt:lpstr>
      <vt:lpstr>KeyPersonal</vt:lpstr>
      <vt:lpstr>KeyPersonalLabel</vt:lpstr>
      <vt:lpstr>KeySick</vt:lpstr>
      <vt:lpstr>KeySickLabel</vt:lpstr>
      <vt:lpstr>KeyVacation</vt:lpstr>
      <vt:lpstr>KeyVacationLabel</vt:lpstr>
      <vt:lpstr>April!MonthName</vt:lpstr>
      <vt:lpstr>Augustus!MonthName</vt:lpstr>
      <vt:lpstr>December!MonthName</vt:lpstr>
      <vt:lpstr>Februari!MonthName</vt:lpstr>
      <vt:lpstr>Januari!MonthName</vt:lpstr>
      <vt:lpstr>Juli!MonthName</vt:lpstr>
      <vt:lpstr>Juni!MonthName</vt:lpstr>
      <vt:lpstr>Maart!MonthName</vt:lpstr>
      <vt:lpstr>Mei!MonthName</vt:lpstr>
      <vt:lpstr>November!MonthName</vt:lpstr>
      <vt:lpstr>Oktober!MonthName</vt:lpstr>
      <vt:lpstr>September!MonthName</vt:lpstr>
      <vt:lpstr>Titel1</vt:lpstr>
      <vt:lpstr>Titel10</vt:lpstr>
      <vt:lpstr>Titel11</vt:lpstr>
      <vt:lpstr>Titel12</vt:lpstr>
      <vt:lpstr>Titel2</vt:lpstr>
      <vt:lpstr>Titel3</vt:lpstr>
      <vt:lpstr>Titel4</vt:lpstr>
      <vt:lpstr>Titel5</vt:lpstr>
      <vt:lpstr>Titel6</vt:lpstr>
      <vt:lpstr>Titel7</vt:lpstr>
      <vt:lpstr>Titel8</vt:lpstr>
      <vt:lpstr>Titel9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Abdullah Gultekin</dc:creator>
  <cp:keywords/>
  <dc:description/>
  <cp:lastModifiedBy>Abdullah Gultekin</cp:lastModifiedBy>
  <cp:revision/>
  <cp:lastPrinted>2025-12-05T16:10:04Z</cp:lastPrinted>
  <dcterms:created xsi:type="dcterms:W3CDTF">2016-12-06T04:52:27Z</dcterms:created>
  <dcterms:modified xsi:type="dcterms:W3CDTF">2025-12-27T14:46:57Z</dcterms:modified>
  <cp:category/>
  <cp:contentStatus/>
</cp:coreProperties>
</file>