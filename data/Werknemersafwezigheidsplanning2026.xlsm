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28" codeName="{E5D1E7B1-6628-F0F0-D09B-76B25B5F3CD3}"/>
  <workbookPr codeName="ThisWorkbook"/>
  <mc:AlternateContent xmlns:mc="http://schemas.openxmlformats.org/markup-compatibility/2006">
    <mc:Choice Requires="x15">
      <x15ac:absPath xmlns:x15ac="http://schemas.microsoft.com/office/spreadsheetml/2010/11/ac" url="/Users/abdullahgultekin/Desktop/"/>
    </mc:Choice>
  </mc:AlternateContent>
  <xr:revisionPtr revIDLastSave="0" documentId="8_{612B2EE6-05B9-6247-BCE4-846F748C3B7E}" xr6:coauthVersionLast="47" xr6:coauthVersionMax="47" xr10:uidLastSave="{00000000-0000-0000-0000-000000000000}"/>
  <bookViews>
    <workbookView xWindow="0" yWindow="680" windowWidth="29040" windowHeight="15720" tabRatio="686" xr2:uid="{00000000-000D-0000-FFFF-FFFF00000000}"/>
  </bookViews>
  <sheets>
    <sheet name="Januari" sheetId="4" r:id="rId1"/>
    <sheet name="Februari" sheetId="5" r:id="rId2"/>
    <sheet name="Maart" sheetId="17" r:id="rId3"/>
    <sheet name="April" sheetId="18" r:id="rId4"/>
    <sheet name="Mei" sheetId="19" r:id="rId5"/>
    <sheet name="Juni" sheetId="20" r:id="rId6"/>
    <sheet name="Juli" sheetId="21" r:id="rId7"/>
    <sheet name="Augustus" sheetId="22" r:id="rId8"/>
    <sheet name="September" sheetId="23" r:id="rId9"/>
    <sheet name="Oktober" sheetId="24" r:id="rId10"/>
    <sheet name="November" sheetId="25" r:id="rId11"/>
    <sheet name="December" sheetId="15" r:id="rId12"/>
    <sheet name="Werknemersnamen" sheetId="16" r:id="rId13"/>
  </sheets>
  <definedNames>
    <definedName name="_xlnm.Print_Titles" localSheetId="3">April!$4:$6</definedName>
    <definedName name="_xlnm.Print_Titles" localSheetId="7">Augustus!$4:$6</definedName>
    <definedName name="_xlnm.Print_Titles" localSheetId="11">December!$4:$6</definedName>
    <definedName name="_xlnm.Print_Titles" localSheetId="1">Februari!$4:$6</definedName>
    <definedName name="_xlnm.Print_Titles" localSheetId="0">Januari!$4:$6</definedName>
    <definedName name="_xlnm.Print_Titles" localSheetId="6">Juli!$4:$6</definedName>
    <definedName name="_xlnm.Print_Titles" localSheetId="5">Juni!$4:$6</definedName>
    <definedName name="_xlnm.Print_Titles" localSheetId="2">Maart!$4:$6</definedName>
    <definedName name="_xlnm.Print_Titles" localSheetId="4">Mei!$4:$6</definedName>
    <definedName name="_xlnm.Print_Titles" localSheetId="10">November!$4:$6</definedName>
    <definedName name="_xlnm.Print_Titles" localSheetId="9">Oktober!$4:$6</definedName>
    <definedName name="_xlnm.Print_Titles" localSheetId="8">September!$4:$6</definedName>
    <definedName name="CalendarYear">Januari!$AH$4</definedName>
    <definedName name="ColumnTitle13">WerknemerNaam[[#Headers],[Werknemersnamen]]</definedName>
    <definedName name="Employee_Absence_Title">Januari!$B$1</definedName>
    <definedName name="Key_name">Januari!$B$2</definedName>
    <definedName name="KeyCustom1">Januari!$N$2</definedName>
    <definedName name="KeyCustom1Label">Januari!$O$2</definedName>
    <definedName name="KeyCustom2">Januari!$R$2</definedName>
    <definedName name="KeyCustom2Label">Januari!$S$2</definedName>
    <definedName name="KeyPersonal">Januari!$G$2</definedName>
    <definedName name="KeyPersonalLabel">Januari!$H$2</definedName>
    <definedName name="KeySick">Januari!$K$2</definedName>
    <definedName name="KeySickLabel">Januari!$L$2</definedName>
    <definedName name="KeyVacation">Januari!$C$2</definedName>
    <definedName name="KeyVacationLabel">Januari!$D$2</definedName>
    <definedName name="MonthName" localSheetId="3">April!$B$4</definedName>
    <definedName name="MonthName" localSheetId="7">Augustus!$B$4</definedName>
    <definedName name="MonthName" localSheetId="11">December!$B$4</definedName>
    <definedName name="MonthName" localSheetId="1">Februari!$B$4</definedName>
    <definedName name="MonthName" localSheetId="0">Januari!$B$4</definedName>
    <definedName name="MonthName" localSheetId="6">Juli!$B$4</definedName>
    <definedName name="MonthName" localSheetId="5">Juni!$B$4</definedName>
    <definedName name="MonthName" localSheetId="2">Maart!$B$4</definedName>
    <definedName name="MonthName" localSheetId="4">Mei!$B$4</definedName>
    <definedName name="MonthName" localSheetId="10">November!$B$4</definedName>
    <definedName name="MonthName" localSheetId="9">Oktober!$B$4</definedName>
    <definedName name="MonthName" localSheetId="8">September!$B$4</definedName>
    <definedName name="Titel1">Januari[[#Headers],[Naam van werknemer]]</definedName>
    <definedName name="Titel10">Oktober[[#Headers],[Naam van werknemer]]</definedName>
    <definedName name="Titel11">November[[#Headers],[Naam van werknemer]]</definedName>
    <definedName name="Titel12">December[[#Headers],[Naam van werknemer]]</definedName>
    <definedName name="Titel2">Februari[[#Headers],[Naam van werknemer]]</definedName>
    <definedName name="Titel3">Maart[[#Headers],[Naam van werknemer]]</definedName>
    <definedName name="Titel4">April[[#Headers],[Naam van werknemer]]</definedName>
    <definedName name="Titel5">#REF!</definedName>
    <definedName name="Titel6">#REF!</definedName>
    <definedName name="Titel7">Juli[[#Headers],[Naam van werknemer]]</definedName>
    <definedName name="Titel8">Augustus[[#Headers],[Naam van werknemer]]</definedName>
    <definedName name="Titel9">September[[#Headers],[Naam van werknemer]]</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20" i="15" l="1"/>
  <c r="AF20" i="15"/>
  <c r="AE20" i="15"/>
  <c r="AD20" i="15"/>
  <c r="AC20" i="15"/>
  <c r="AB20" i="15"/>
  <c r="AA20" i="15"/>
  <c r="Z20" i="15"/>
  <c r="Y20" i="15"/>
  <c r="X20" i="15"/>
  <c r="W20" i="15"/>
  <c r="V20" i="15"/>
  <c r="U20" i="15"/>
  <c r="T20" i="15"/>
  <c r="S20" i="15"/>
  <c r="R20" i="15"/>
  <c r="Q20" i="15"/>
  <c r="P20" i="15"/>
  <c r="O20" i="15"/>
  <c r="N20" i="15"/>
  <c r="M20" i="15"/>
  <c r="L20" i="15"/>
  <c r="K20" i="15"/>
  <c r="J20" i="15"/>
  <c r="I20" i="15"/>
  <c r="H20" i="15"/>
  <c r="G20" i="15"/>
  <c r="F20" i="15"/>
  <c r="E20" i="15"/>
  <c r="D20" i="15"/>
  <c r="C20" i="15"/>
  <c r="AG20" i="25"/>
  <c r="AF20" i="25"/>
  <c r="AE20" i="25"/>
  <c r="AD20" i="25"/>
  <c r="AC20" i="25"/>
  <c r="AB20" i="25"/>
  <c r="AA20" i="25"/>
  <c r="Z20" i="25"/>
  <c r="Y20" i="25"/>
  <c r="X20" i="25"/>
  <c r="W20" i="25"/>
  <c r="V20" i="25"/>
  <c r="U20" i="25"/>
  <c r="T20" i="25"/>
  <c r="S20" i="25"/>
  <c r="R20" i="25"/>
  <c r="Q20" i="25"/>
  <c r="P20" i="25"/>
  <c r="O20" i="25"/>
  <c r="N20" i="25"/>
  <c r="M20" i="25"/>
  <c r="L20" i="25"/>
  <c r="K20" i="25"/>
  <c r="J20" i="25"/>
  <c r="I20" i="25"/>
  <c r="H20" i="25"/>
  <c r="G20" i="25"/>
  <c r="F20" i="25"/>
  <c r="E20" i="25"/>
  <c r="D20" i="25"/>
  <c r="C20" i="25"/>
  <c r="AG20" i="24"/>
  <c r="AF20" i="24"/>
  <c r="AE20" i="24"/>
  <c r="AD20" i="24"/>
  <c r="AC20" i="24"/>
  <c r="AB20" i="24"/>
  <c r="AA20" i="24"/>
  <c r="Z20" i="24"/>
  <c r="Y20" i="24"/>
  <c r="X20" i="24"/>
  <c r="W20" i="24"/>
  <c r="V20" i="24"/>
  <c r="U20" i="24"/>
  <c r="T20" i="24"/>
  <c r="S20" i="24"/>
  <c r="R20" i="24"/>
  <c r="Q20" i="24"/>
  <c r="P20" i="24"/>
  <c r="O20" i="24"/>
  <c r="N20" i="24"/>
  <c r="M20" i="24"/>
  <c r="L20" i="24"/>
  <c r="K20" i="24"/>
  <c r="J20" i="24"/>
  <c r="I20" i="24"/>
  <c r="H20" i="24"/>
  <c r="G20" i="24"/>
  <c r="F20" i="24"/>
  <c r="E20" i="24"/>
  <c r="D20" i="24"/>
  <c r="C20" i="24"/>
  <c r="AG20" i="23"/>
  <c r="AF20" i="23"/>
  <c r="AE20" i="23"/>
  <c r="AD20" i="23"/>
  <c r="AC20" i="23"/>
  <c r="AB20" i="23"/>
  <c r="AA20" i="23"/>
  <c r="Z20" i="23"/>
  <c r="Y20" i="23"/>
  <c r="X20" i="23"/>
  <c r="W20" i="23"/>
  <c r="V20" i="23"/>
  <c r="U20" i="23"/>
  <c r="T20" i="23"/>
  <c r="S20" i="23"/>
  <c r="R20" i="23"/>
  <c r="Q20" i="23"/>
  <c r="P20" i="23"/>
  <c r="O20" i="23"/>
  <c r="N20" i="23"/>
  <c r="M20" i="23"/>
  <c r="L20" i="23"/>
  <c r="K20" i="23"/>
  <c r="J20" i="23"/>
  <c r="I20" i="23"/>
  <c r="H20" i="23"/>
  <c r="G20" i="23"/>
  <c r="F20" i="23"/>
  <c r="E20" i="23"/>
  <c r="D20" i="23"/>
  <c r="C20" i="23"/>
  <c r="AG20" i="22"/>
  <c r="AF20" i="22"/>
  <c r="AE20" i="22"/>
  <c r="AD20" i="22"/>
  <c r="AC20" i="22"/>
  <c r="AB20" i="22"/>
  <c r="AA20" i="22"/>
  <c r="Z20" i="22"/>
  <c r="Y20" i="22"/>
  <c r="X20" i="22"/>
  <c r="W20" i="22"/>
  <c r="V20" i="22"/>
  <c r="U20" i="22"/>
  <c r="T20" i="22"/>
  <c r="S20" i="22"/>
  <c r="R20" i="22"/>
  <c r="Q20" i="22"/>
  <c r="P20" i="22"/>
  <c r="O20" i="22"/>
  <c r="N20" i="22"/>
  <c r="M20" i="22"/>
  <c r="L20" i="22"/>
  <c r="K20" i="22"/>
  <c r="J20" i="22"/>
  <c r="I20" i="22"/>
  <c r="H20" i="22"/>
  <c r="G20" i="22"/>
  <c r="F20" i="22"/>
  <c r="E20" i="22"/>
  <c r="D20" i="22"/>
  <c r="C20" i="22"/>
  <c r="AG20" i="21"/>
  <c r="AF20" i="21"/>
  <c r="AE20" i="21"/>
  <c r="AD20" i="21"/>
  <c r="AC20" i="21"/>
  <c r="AB20" i="21"/>
  <c r="AA20" i="21"/>
  <c r="Z20" i="21"/>
  <c r="Y20" i="21"/>
  <c r="X20" i="21"/>
  <c r="W20" i="21"/>
  <c r="V20" i="21"/>
  <c r="U20" i="21"/>
  <c r="T20" i="21"/>
  <c r="S20" i="21"/>
  <c r="R20" i="21"/>
  <c r="Q20" i="21"/>
  <c r="P20" i="21"/>
  <c r="O20" i="21"/>
  <c r="N20" i="21"/>
  <c r="M20" i="21"/>
  <c r="L20" i="21"/>
  <c r="K20" i="21"/>
  <c r="J20" i="21"/>
  <c r="I20" i="21"/>
  <c r="H20" i="21"/>
  <c r="G20" i="21"/>
  <c r="F20" i="21"/>
  <c r="E20" i="21"/>
  <c r="D20" i="21"/>
  <c r="C20" i="21"/>
  <c r="AG20" i="20"/>
  <c r="AF20" i="20"/>
  <c r="AE20" i="20"/>
  <c r="AD20" i="20"/>
  <c r="AC20" i="20"/>
  <c r="AB20" i="20"/>
  <c r="AA20" i="20"/>
  <c r="Z20" i="20"/>
  <c r="Y20" i="20"/>
  <c r="X20" i="20"/>
  <c r="W20" i="20"/>
  <c r="V20" i="20"/>
  <c r="U20" i="20"/>
  <c r="T20" i="20"/>
  <c r="S20" i="20"/>
  <c r="R20" i="20"/>
  <c r="Q20" i="20"/>
  <c r="P20" i="20"/>
  <c r="O20" i="20"/>
  <c r="N20" i="20"/>
  <c r="M20" i="20"/>
  <c r="L20" i="20"/>
  <c r="K20" i="20"/>
  <c r="J20" i="20"/>
  <c r="I20" i="20"/>
  <c r="H20" i="20"/>
  <c r="G20" i="20"/>
  <c r="F20" i="20"/>
  <c r="E20" i="20"/>
  <c r="D20" i="20"/>
  <c r="C20" i="20"/>
  <c r="AG20" i="19"/>
  <c r="AF20" i="19"/>
  <c r="AE20" i="19"/>
  <c r="AD20" i="19"/>
  <c r="AC20" i="19"/>
  <c r="AB20" i="19"/>
  <c r="AA20" i="19"/>
  <c r="Z20" i="19"/>
  <c r="Y20" i="19"/>
  <c r="X20" i="19"/>
  <c r="W20" i="19"/>
  <c r="V20" i="19"/>
  <c r="U20" i="19"/>
  <c r="T20" i="19"/>
  <c r="S20" i="19"/>
  <c r="R20" i="19"/>
  <c r="Q20" i="19"/>
  <c r="P20" i="19"/>
  <c r="O20" i="19"/>
  <c r="N20" i="19"/>
  <c r="M20" i="19"/>
  <c r="L20" i="19"/>
  <c r="K20" i="19"/>
  <c r="J20" i="19"/>
  <c r="I20" i="19"/>
  <c r="H20" i="19"/>
  <c r="G20" i="19"/>
  <c r="F20" i="19"/>
  <c r="E20" i="19"/>
  <c r="D20" i="19"/>
  <c r="C20" i="19"/>
  <c r="AG20" i="18"/>
  <c r="AF20" i="18"/>
  <c r="AE20" i="18"/>
  <c r="AD20" i="18"/>
  <c r="AC20" i="18"/>
  <c r="AB20" i="18"/>
  <c r="AA20" i="18"/>
  <c r="Z20" i="18"/>
  <c r="Y20" i="18"/>
  <c r="X20" i="18"/>
  <c r="W20" i="18"/>
  <c r="V20" i="18"/>
  <c r="U20" i="18"/>
  <c r="T20" i="18"/>
  <c r="S20" i="18"/>
  <c r="R20" i="18"/>
  <c r="Q20" i="18"/>
  <c r="P20" i="18"/>
  <c r="O20" i="18"/>
  <c r="N20" i="18"/>
  <c r="M20" i="18"/>
  <c r="L20" i="18"/>
  <c r="K20" i="18"/>
  <c r="J20" i="18"/>
  <c r="I20" i="18"/>
  <c r="H20" i="18"/>
  <c r="G20" i="18"/>
  <c r="F20" i="18"/>
  <c r="E20" i="18"/>
  <c r="D20" i="18"/>
  <c r="C20" i="18"/>
  <c r="AG20" i="17"/>
  <c r="AF20" i="17"/>
  <c r="AE20" i="17"/>
  <c r="AD20" i="17"/>
  <c r="AC20" i="17"/>
  <c r="AB20" i="17"/>
  <c r="AA20" i="17"/>
  <c r="Z20" i="17"/>
  <c r="Y20" i="17"/>
  <c r="X20" i="17"/>
  <c r="W20" i="17"/>
  <c r="V20" i="17"/>
  <c r="U20" i="17"/>
  <c r="T20" i="17"/>
  <c r="S20" i="17"/>
  <c r="R20" i="17"/>
  <c r="Q20" i="17"/>
  <c r="P20" i="17"/>
  <c r="O20" i="17"/>
  <c r="N20" i="17"/>
  <c r="M20" i="17"/>
  <c r="L20" i="17"/>
  <c r="K20" i="17"/>
  <c r="J20" i="17"/>
  <c r="I20" i="17"/>
  <c r="H20" i="17"/>
  <c r="G20" i="17"/>
  <c r="F20" i="17"/>
  <c r="E20" i="17"/>
  <c r="D20" i="17"/>
  <c r="C20" i="17"/>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AG20" i="4"/>
  <c r="AF20" i="4"/>
  <c r="AE20" i="4"/>
  <c r="AD20" i="4"/>
  <c r="AC20" i="4"/>
  <c r="AB20" i="4"/>
  <c r="AA20" i="4"/>
  <c r="Z20" i="4"/>
  <c r="Y20" i="4"/>
  <c r="X20" i="4"/>
  <c r="W20" i="4"/>
  <c r="V20" i="4"/>
  <c r="U20" i="4"/>
  <c r="T20" i="4"/>
  <c r="S20" i="4"/>
  <c r="R20" i="4"/>
  <c r="Q20" i="4"/>
  <c r="P20" i="4"/>
  <c r="O20" i="4"/>
  <c r="N20" i="4"/>
  <c r="M20" i="4"/>
  <c r="L20" i="4"/>
  <c r="K20" i="4"/>
  <c r="J20" i="4"/>
  <c r="I20" i="4"/>
  <c r="H20" i="4"/>
  <c r="G20" i="4"/>
  <c r="F20" i="4"/>
  <c r="E20" i="4"/>
  <c r="D20" i="4"/>
  <c r="C20" i="4"/>
  <c r="B18" i="15"/>
  <c r="B17" i="15"/>
  <c r="B16" i="15"/>
  <c r="B15" i="15"/>
  <c r="B14" i="15"/>
  <c r="B13" i="15"/>
  <c r="B12" i="15"/>
  <c r="B11" i="15"/>
  <c r="B10" i="15"/>
  <c r="B9" i="15"/>
  <c r="B8" i="15"/>
  <c r="B7" i="15"/>
  <c r="B18" i="25"/>
  <c r="B17" i="25"/>
  <c r="B16" i="25"/>
  <c r="B15" i="25"/>
  <c r="B14" i="25"/>
  <c r="B13" i="25"/>
  <c r="B12" i="25"/>
  <c r="B11" i="25"/>
  <c r="B10" i="25"/>
  <c r="B9" i="25"/>
  <c r="B8" i="25"/>
  <c r="B7" i="25"/>
  <c r="B18" i="24"/>
  <c r="B17" i="24"/>
  <c r="B16" i="24"/>
  <c r="B15" i="24"/>
  <c r="B14" i="24"/>
  <c r="B13" i="24"/>
  <c r="B12" i="24"/>
  <c r="B11" i="24"/>
  <c r="B10" i="24"/>
  <c r="B9" i="24"/>
  <c r="B8" i="24"/>
  <c r="B7" i="24"/>
  <c r="B18" i="23"/>
  <c r="B17" i="23"/>
  <c r="B16" i="23"/>
  <c r="B15" i="23"/>
  <c r="B14" i="23"/>
  <c r="B13" i="23"/>
  <c r="B12" i="23"/>
  <c r="B11" i="23"/>
  <c r="B10" i="23"/>
  <c r="B9" i="23"/>
  <c r="B8" i="23"/>
  <c r="B7" i="23"/>
  <c r="B18" i="22"/>
  <c r="B17" i="22"/>
  <c r="B16" i="22"/>
  <c r="B15" i="22"/>
  <c r="B14" i="22"/>
  <c r="B13" i="22"/>
  <c r="B12" i="22"/>
  <c r="B11" i="22"/>
  <c r="B10" i="22"/>
  <c r="B9" i="22"/>
  <c r="B8" i="22"/>
  <c r="B7" i="22"/>
  <c r="B18" i="21"/>
  <c r="B17" i="21"/>
  <c r="B16" i="21"/>
  <c r="B15" i="21"/>
  <c r="B14" i="21"/>
  <c r="B13" i="21"/>
  <c r="B12" i="21"/>
  <c r="B11" i="21"/>
  <c r="B10" i="21"/>
  <c r="B9" i="21"/>
  <c r="B8" i="21"/>
  <c r="B7" i="21"/>
  <c r="B18" i="20"/>
  <c r="B17" i="20"/>
  <c r="B16" i="20"/>
  <c r="B15" i="20"/>
  <c r="B14" i="20"/>
  <c r="B13" i="20"/>
  <c r="B12" i="20"/>
  <c r="B11" i="20"/>
  <c r="B10" i="20"/>
  <c r="B9" i="20"/>
  <c r="B8" i="20"/>
  <c r="B7" i="20"/>
  <c r="B18" i="19"/>
  <c r="B17" i="19"/>
  <c r="B16" i="19"/>
  <c r="B15" i="19"/>
  <c r="B14" i="19"/>
  <c r="B13" i="19"/>
  <c r="B12" i="19"/>
  <c r="B11" i="19"/>
  <c r="B10" i="19"/>
  <c r="B9" i="19"/>
  <c r="B8" i="19"/>
  <c r="B7" i="19"/>
  <c r="B18" i="18"/>
  <c r="B17" i="18"/>
  <c r="B16" i="18"/>
  <c r="B15" i="18"/>
  <c r="B14" i="18"/>
  <c r="B13" i="18"/>
  <c r="B12" i="18"/>
  <c r="B11" i="18"/>
  <c r="B10" i="18"/>
  <c r="B9" i="18"/>
  <c r="B8" i="18"/>
  <c r="B7" i="18"/>
  <c r="B18" i="17"/>
  <c r="B17" i="17"/>
  <c r="B16" i="17"/>
  <c r="B15" i="17"/>
  <c r="B14" i="17"/>
  <c r="B13" i="17"/>
  <c r="B12" i="17"/>
  <c r="B11" i="17"/>
  <c r="B10" i="17"/>
  <c r="B9" i="17"/>
  <c r="B8" i="17"/>
  <c r="B7" i="17"/>
  <c r="B18" i="5"/>
  <c r="B17" i="5"/>
  <c r="B16" i="5"/>
  <c r="B15" i="5"/>
  <c r="B14" i="5"/>
  <c r="B13" i="5"/>
  <c r="B12" i="5"/>
  <c r="B11" i="5"/>
  <c r="B10" i="5"/>
  <c r="B9" i="5"/>
  <c r="B8" i="5"/>
  <c r="B7" i="5"/>
  <c r="B19" i="17"/>
  <c r="B8" i="4"/>
  <c r="B9" i="4"/>
  <c r="B10" i="4"/>
  <c r="B11" i="4"/>
  <c r="B12" i="4"/>
  <c r="B13" i="4"/>
  <c r="B14" i="4"/>
  <c r="B15" i="4"/>
  <c r="B16" i="4"/>
  <c r="B17" i="4"/>
  <c r="B18" i="4"/>
  <c r="B7" i="4"/>
  <c r="B1" i="25" l="1"/>
  <c r="B1" i="24"/>
  <c r="B1" i="23"/>
  <c r="B1" i="22"/>
  <c r="B1" i="21"/>
  <c r="B1" i="20"/>
  <c r="B1" i="19"/>
  <c r="B1" i="18"/>
  <c r="B1" i="17"/>
  <c r="B1" i="15"/>
  <c r="B1" i="5"/>
  <c r="AH4" i="15" l="1"/>
  <c r="AH4" i="5"/>
  <c r="AH4" i="17"/>
  <c r="AH4" i="18"/>
  <c r="AH4" i="19"/>
  <c r="AH4" i="20"/>
  <c r="AH4" i="21"/>
  <c r="AH4" i="22"/>
  <c r="AH4" i="23"/>
  <c r="AH4" i="24"/>
  <c r="AH4" i="25"/>
  <c r="AH11" i="20"/>
  <c r="AH19" i="19"/>
  <c r="AH20" i="5"/>
  <c r="AH7" i="5"/>
  <c r="AH10" i="19"/>
  <c r="AH20" i="22"/>
  <c r="AH7" i="22"/>
  <c r="AH13" i="20"/>
  <c r="AH20" i="25"/>
  <c r="AH7" i="25"/>
  <c r="AH18" i="19"/>
  <c r="AH12" i="20"/>
  <c r="AH17" i="19"/>
  <c r="AH12" i="19"/>
  <c r="AH13" i="19"/>
  <c r="AH17" i="20"/>
  <c r="AH19" i="20"/>
  <c r="AH20" i="20"/>
  <c r="AH7" i="20"/>
  <c r="AH14" i="20"/>
  <c r="AH18" i="20"/>
  <c r="AH11" i="19"/>
  <c r="AH10" i="20"/>
  <c r="AH14" i="19"/>
  <c r="AH20" i="19"/>
  <c r="AH7" i="19"/>
  <c r="AH16" i="19"/>
  <c r="AH20" i="15"/>
  <c r="AH7" i="15"/>
  <c r="AH20" i="23"/>
  <c r="AH7" i="23"/>
  <c r="AH15" i="20"/>
  <c r="AH20" i="17"/>
  <c r="AH7" i="17"/>
  <c r="AH9" i="19"/>
  <c r="AH8" i="20"/>
  <c r="AH15" i="19"/>
  <c r="AH20" i="4"/>
  <c r="AH7" i="4"/>
  <c r="AH16" i="20"/>
  <c r="AH20" i="21"/>
  <c r="AH7" i="21"/>
  <c r="AH13" i="17"/>
  <c r="AH8" i="17"/>
  <c r="AH14" i="17"/>
  <c r="AH17" i="17"/>
  <c r="AH15" i="17"/>
  <c r="AH9" i="17"/>
  <c r="AH10" i="17"/>
  <c r="AH12" i="17"/>
  <c r="AH16" i="17"/>
  <c r="AH11" i="17"/>
  <c r="AH19" i="17"/>
  <c r="AH18" i="17"/>
  <c r="AH8" i="21"/>
  <c r="AH14" i="21"/>
  <c r="AH11" i="21"/>
  <c r="AH15" i="21"/>
  <c r="AH17" i="21"/>
  <c r="AH9" i="21"/>
  <c r="AH13" i="21"/>
  <c r="AH12" i="21"/>
  <c r="AH10" i="21"/>
  <c r="AH18" i="21"/>
  <c r="AH16" i="21"/>
  <c r="AH10" i="24"/>
  <c r="AH12" i="24"/>
  <c r="AH13" i="24"/>
  <c r="AH8" i="24"/>
  <c r="AH16" i="24"/>
  <c r="AH14" i="24"/>
  <c r="AH15" i="24"/>
  <c r="AH17" i="24"/>
  <c r="AH9" i="24"/>
  <c r="AH11" i="24"/>
  <c r="AH14" i="22"/>
  <c r="AH16" i="22"/>
  <c r="AH10" i="22"/>
  <c r="AH12" i="22"/>
  <c r="AH11" i="22"/>
  <c r="AH13" i="22"/>
  <c r="AH8" i="22"/>
  <c r="AH15" i="22"/>
  <c r="AH17" i="22"/>
  <c r="AH18" i="22"/>
  <c r="AH9" i="22"/>
  <c r="AH9" i="25"/>
  <c r="AH10" i="25"/>
  <c r="AH13" i="25"/>
  <c r="AH16" i="25"/>
  <c r="AH11" i="25"/>
  <c r="AH14" i="25"/>
  <c r="AH12" i="25"/>
  <c r="AH15" i="25"/>
  <c r="AH17" i="25"/>
  <c r="AH18" i="25"/>
  <c r="AH8" i="25"/>
  <c r="AH15" i="15"/>
  <c r="AH14" i="15"/>
  <c r="AH12" i="15"/>
  <c r="AH11" i="15"/>
  <c r="AH10" i="15"/>
  <c r="AH17" i="15"/>
  <c r="AH8" i="15"/>
  <c r="AH16" i="15"/>
  <c r="AH9" i="15"/>
  <c r="AH18" i="15"/>
  <c r="AH13" i="15"/>
  <c r="AH8" i="18"/>
  <c r="AH12" i="18"/>
  <c r="AH9" i="18"/>
  <c r="AH15" i="18"/>
  <c r="AH10" i="18"/>
  <c r="AH17" i="18"/>
  <c r="AH16" i="18"/>
  <c r="AH14" i="18"/>
  <c r="AH13" i="18"/>
  <c r="AH11" i="18"/>
  <c r="AH17" i="4"/>
  <c r="AH8" i="4"/>
  <c r="AH9" i="4"/>
  <c r="AH16" i="4"/>
  <c r="AH14" i="4"/>
  <c r="AH11" i="4"/>
  <c r="AH13" i="4"/>
  <c r="AH15" i="4"/>
  <c r="AH10" i="4"/>
  <c r="AH18" i="4"/>
  <c r="AH12" i="4"/>
  <c r="AH14" i="23"/>
  <c r="AH9" i="23"/>
  <c r="AH16" i="23"/>
  <c r="AH12" i="23"/>
  <c r="AH17" i="23"/>
  <c r="AH11" i="23"/>
  <c r="AH8" i="23"/>
  <c r="AH13" i="23"/>
  <c r="AH15" i="23"/>
  <c r="AH18" i="23"/>
  <c r="AH10" i="23"/>
  <c r="AH12" i="5"/>
  <c r="AH8" i="5"/>
  <c r="AH11" i="5"/>
  <c r="AH16" i="5"/>
  <c r="AH13" i="5"/>
  <c r="AH15" i="5"/>
  <c r="AH9" i="5"/>
  <c r="AH14" i="5"/>
  <c r="AH10" i="5"/>
  <c r="AH18" i="5"/>
  <c r="AH17" i="5"/>
  <c r="AH9" i="20"/>
  <c r="AH8" i="19"/>
  <c r="AH18" i="18"/>
  <c r="AH7" i="18"/>
  <c r="AH20" i="18"/>
  <c r="AH18" i="24"/>
  <c r="AH7" i="24"/>
  <c r="AH20" i="24"/>
</calcChain>
</file>

<file path=xl/sharedStrings.xml><?xml version="1.0" encoding="utf-8"?>
<sst xmlns="http://schemas.openxmlformats.org/spreadsheetml/2006/main" count="4937" uniqueCount="93">
  <si>
    <t xml:space="preserve">Afwezigheidsplanning Werknemers </t>
  </si>
  <si>
    <t>Sleutel afwezigheidstype</t>
  </si>
  <si>
    <t>Januari</t>
  </si>
  <si>
    <t>Naam van werknemer</t>
  </si>
  <si>
    <t>V</t>
  </si>
  <si>
    <t>1</t>
  </si>
  <si>
    <t>Vakantie</t>
  </si>
  <si>
    <t>2</t>
  </si>
  <si>
    <t>3</t>
  </si>
  <si>
    <t>P</t>
  </si>
  <si>
    <t>4</t>
  </si>
  <si>
    <t>Z</t>
  </si>
  <si>
    <t>5</t>
  </si>
  <si>
    <t>Persoonlijk</t>
  </si>
  <si>
    <t>6</t>
  </si>
  <si>
    <t>7</t>
  </si>
  <si>
    <t>8</t>
  </si>
  <si>
    <t>9</t>
  </si>
  <si>
    <t>Ziek</t>
  </si>
  <si>
    <t>10</t>
  </si>
  <si>
    <t>11</t>
  </si>
  <si>
    <t>12</t>
  </si>
  <si>
    <t>Aangepast 1</t>
  </si>
  <si>
    <t>13</t>
  </si>
  <si>
    <t>14</t>
  </si>
  <si>
    <t>15</t>
  </si>
  <si>
    <t>16</t>
  </si>
  <si>
    <t>Aangepast 2</t>
  </si>
  <si>
    <t>17</t>
  </si>
  <si>
    <t>18</t>
  </si>
  <si>
    <t>19</t>
  </si>
  <si>
    <t>20</t>
  </si>
  <si>
    <t>21</t>
  </si>
  <si>
    <t>22</t>
  </si>
  <si>
    <t>23</t>
  </si>
  <si>
    <t>24</t>
  </si>
  <si>
    <t>25</t>
  </si>
  <si>
    <t>26</t>
  </si>
  <si>
    <t>27</t>
  </si>
  <si>
    <t>28</t>
  </si>
  <si>
    <t>29</t>
  </si>
  <si>
    <t>30</t>
  </si>
  <si>
    <t>31</t>
  </si>
  <si>
    <t>Voer het jaar in:</t>
  </si>
  <si>
    <t>Februari</t>
  </si>
  <si>
    <t>Maart</t>
  </si>
  <si>
    <t>April</t>
  </si>
  <si>
    <t>Juni</t>
  </si>
  <si>
    <t>Juli</t>
  </si>
  <si>
    <t>Augustus</t>
  </si>
  <si>
    <t>Oktober</t>
  </si>
  <si>
    <t>November</t>
  </si>
  <si>
    <t>December</t>
  </si>
  <si>
    <t>Werknemersnamen</t>
  </si>
  <si>
    <t>Mei</t>
  </si>
  <si>
    <t xml:space="preserve">Uren </t>
  </si>
  <si>
    <t>Kacar Abdullah</t>
  </si>
  <si>
    <t>Cinar Rafet</t>
  </si>
  <si>
    <t>Kefes Levent</t>
  </si>
  <si>
    <t>Irakoze Patrick</t>
  </si>
  <si>
    <t>El Maazouzi Abdelilah</t>
  </si>
  <si>
    <t>Biragoye Isaac</t>
  </si>
  <si>
    <t>Ander werk</t>
  </si>
  <si>
    <t>A</t>
  </si>
  <si>
    <t>Totaal aantal uren</t>
  </si>
  <si>
    <t>Gultekin Muhammed E</t>
  </si>
  <si>
    <t>Gultekin Muhammed A</t>
  </si>
  <si>
    <t>School</t>
  </si>
  <si>
    <t>S</t>
  </si>
  <si>
    <t>Cygora Lukasz Jan</t>
  </si>
  <si>
    <t>Moualdine Ali</t>
  </si>
  <si>
    <t>El Karmoudi Taufik</t>
  </si>
  <si>
    <t>G</t>
  </si>
  <si>
    <t>za</t>
  </si>
  <si>
    <t>zo</t>
  </si>
  <si>
    <t>ma</t>
  </si>
  <si>
    <t>di</t>
  </si>
  <si>
    <t>wo</t>
  </si>
  <si>
    <t>do</t>
  </si>
  <si>
    <t>vr</t>
  </si>
  <si>
    <t>September</t>
  </si>
  <si>
    <t>Januari Totaal</t>
  </si>
  <si>
    <t>Februari Totaal</t>
  </si>
  <si>
    <t>Maart Totaal</t>
  </si>
  <si>
    <t>April Totaal</t>
  </si>
  <si>
    <t>Mei Totaal</t>
  </si>
  <si>
    <t>Juni Totaal</t>
  </si>
  <si>
    <t>Juli Totaal</t>
  </si>
  <si>
    <t>Augustus Totaal</t>
  </si>
  <si>
    <t>September Totaal</t>
  </si>
  <si>
    <t>Oktober Totaal</t>
  </si>
  <si>
    <t>November Totaal</t>
  </si>
  <si>
    <t>December Totaal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</si>
</sst>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1" formatCode="_(* #,##0_);_(* \(#,##0\);_(* &quot;-&quot;_);_(@_)"/>
    <numFmt numFmtId="43" formatCode="_(* #,##0.00_);_(* \(#,##0.00\);_(* &quot;-&quot;??_);_(@_)"/>
    <numFmt numFmtId="164" formatCode="0;0;"/>
    <numFmt numFmtId="165" formatCode="_-&quot;kr&quot;\ * #,##0.00_-;\-&quot;kr&quot;\ * #,##0.00_-;_-&quot;kr&quot;\ * &quot;-&quot;??_-;_-@_-"/>
    <numFmt numFmtId="166" formatCode="_-&quot;kr&quot;\ * #,##0_-;\-&quot;kr&quot;\ * #,##0_-;_-&quot;kr&quot;\ * &quot;-&quot;_-;_-@_-"/>
  </numFmts>
  <fonts count="19"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3" tint="-0.24994659260841701"/>
      <name val="Calibri"/>
      <family val="2"/>
      <scheme val="major"/>
    </font>
    <font>
      <b/>
      <sz val="18"/>
      <color theme="4" tint="-0.24994659260841701"/>
      <name val="Calibri"/>
      <family val="2"/>
      <scheme val="minor"/>
    </font>
    <font>
      <b/>
      <sz val="26"/>
      <color theme="3"/>
      <name val="Calibri"/>
      <family val="2"/>
      <scheme val="minor"/>
    </font>
    <font>
      <sz val="11"/>
      <color theme="4" tint="-0.499984740745262"/>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8"/>
      <name val="Calibri"/>
      <family val="2"/>
      <scheme val="minor"/>
    </font>
  </fonts>
  <fills count="39">
    <fill>
      <patternFill patternType="none"/>
    </fill>
    <fill>
      <patternFill patternType="gray125"/>
    </fill>
    <fill>
      <patternFill patternType="solid">
        <fgColor theme="2"/>
        <bgColor indexed="64"/>
      </patternFill>
    </fill>
    <fill>
      <patternFill patternType="solid">
        <fgColor theme="7"/>
        <bgColor indexed="64"/>
      </patternFill>
    </fill>
    <fill>
      <patternFill patternType="solid">
        <fgColor theme="7" tint="0.79998168889431442"/>
        <bgColor indexed="65"/>
      </patternFill>
    </fill>
    <fill>
      <patternFill patternType="solid">
        <fgColor theme="7" tint="0.39997558519241921"/>
        <bgColor indexed="65"/>
      </patternFill>
    </fill>
    <fill>
      <patternFill patternType="solid">
        <fgColor theme="3" tint="0.79998168889431442"/>
        <bgColor indexed="64"/>
      </patternFill>
    </fill>
    <fill>
      <patternFill patternType="solid">
        <fgColor theme="3" tint="-0.24994659260841701"/>
        <bgColor indexed="64"/>
      </patternFill>
    </fill>
    <fill>
      <patternFill patternType="solid">
        <fgColor theme="3" tint="0.39994506668294322"/>
        <bgColor indexed="64"/>
      </patternFill>
    </fill>
    <fill>
      <patternFill patternType="solid">
        <fgColor theme="7" tint="0.59996337778862885"/>
        <bgColor indexed="64"/>
      </patternFill>
    </fill>
    <fill>
      <patternFill patternType="solid">
        <fgColor theme="5" tint="0.59999389629810485"/>
        <bgColor indexed="65"/>
      </patternFill>
    </fill>
    <fill>
      <patternFill patternType="solid">
        <fgColor theme="6"/>
      </patternFill>
    </fill>
    <fill>
      <patternFill patternType="solid">
        <fgColor theme="6" tint="0.59999389629810485"/>
        <bgColor indexed="65"/>
      </patternFill>
    </fill>
    <fill>
      <patternFill patternType="solid">
        <fgColor theme="6" tint="0.39997558519241921"/>
        <bgColor indexed="65"/>
      </patternFill>
    </fill>
    <fill>
      <patternFill patternType="solid">
        <fgColor theme="8" tint="0.59999389629810485"/>
        <bgColor indexed="65"/>
      </patternFill>
    </fill>
    <fill>
      <patternFill patternType="solid">
        <fgColor theme="4" tint="0.39994506668294322"/>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rgb="FFF8E3E0"/>
        <bgColor indexed="64"/>
      </patternFill>
    </fill>
    <fill>
      <patternFill patternType="solid">
        <fgColor theme="5" tint="0.39994506668294322"/>
        <bgColor indexed="64"/>
      </patternFill>
    </fill>
    <fill>
      <patternFill patternType="solid">
        <fgColor theme="6" tint="0.599963377788628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5" tint="0.79998168889431442"/>
        <bgColor indexed="65"/>
      </patternFill>
    </fill>
    <fill>
      <patternFill patternType="solid">
        <fgColor theme="5"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8"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DCDCDC"/>
        <bgColor indexed="64"/>
      </patternFill>
    </fill>
    <fill>
      <patternFill patternType="solid">
        <fgColor rgb="FF999999"/>
        <bgColor indexed="64"/>
      </patternFill>
    </fill>
    <fill>
      <patternFill patternType="solid">
        <fgColor theme="3"/>
        <bgColor indexed="64"/>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theme="0"/>
      </left>
      <right style="thin">
        <color theme="0"/>
      </right>
      <top/>
      <bottom/>
      <diagonal/>
    </border>
  </borders>
  <cellStyleXfs count="49">
    <xf numFmtId="0" fontId="0" fillId="0" borderId="0">
      <alignment horizontal="left" vertical="center"/>
    </xf>
    <xf numFmtId="0" fontId="6" fillId="0" borderId="0" applyNumberFormat="0" applyFill="0" applyBorder="0" applyProtection="0">
      <alignment vertical="top"/>
    </xf>
    <xf numFmtId="0" fontId="4" fillId="0" borderId="0" applyNumberFormat="0" applyFill="0" applyBorder="0" applyProtection="0">
      <alignment vertical="top"/>
    </xf>
    <xf numFmtId="0" fontId="5" fillId="2" borderId="0" applyNumberFormat="0" applyBorder="0" applyProtection="0">
      <alignment horizontal="center" vertical="center"/>
    </xf>
    <xf numFmtId="0" fontId="2" fillId="20" borderId="0" applyNumberFormat="0" applyProtection="0">
      <alignment horizontal="right" vertical="center" indent="1"/>
    </xf>
    <xf numFmtId="0" fontId="1" fillId="0" borderId="0" applyNumberFormat="0" applyFill="0" applyBorder="0" applyProtection="0">
      <alignment horizontal="left" vertical="center" indent="2"/>
    </xf>
    <xf numFmtId="0" fontId="3" fillId="3" borderId="0" applyNumberFormat="0" applyBorder="0" applyAlignment="0" applyProtection="0"/>
    <xf numFmtId="0" fontId="1" fillId="4" borderId="0" applyNumberFormat="0" applyBorder="0" applyProtection="0">
      <alignment horizontal="center" vertical="center"/>
    </xf>
    <xf numFmtId="0" fontId="2" fillId="9" borderId="0" applyNumberFormat="0" applyBorder="0" applyAlignment="0" applyProtection="0"/>
    <xf numFmtId="0" fontId="1" fillId="5" borderId="0" applyNumberFormat="0" applyBorder="0" applyAlignment="0" applyProtection="0"/>
    <xf numFmtId="0" fontId="3" fillId="7" borderId="0" applyNumberFormat="0" applyBorder="0" applyAlignment="0" applyProtection="0"/>
    <xf numFmtId="0" fontId="1" fillId="6" borderId="0" applyNumberFormat="0" applyBorder="0" applyAlignment="0" applyProtection="0"/>
    <xf numFmtId="0" fontId="2" fillId="15" borderId="0" applyNumberFormat="0" applyBorder="0" applyAlignment="0" applyProtection="0"/>
    <xf numFmtId="0" fontId="1" fillId="8" borderId="0" applyNumberFormat="0" applyBorder="0" applyAlignment="0" applyProtection="0"/>
    <xf numFmtId="0" fontId="3" fillId="15" borderId="0" applyNumberFormat="0" applyBorder="0" applyAlignment="0" applyProtection="0"/>
    <xf numFmtId="0" fontId="1" fillId="18" borderId="0" applyNumberFormat="0" applyBorder="0" applyAlignment="0" applyProtection="0"/>
    <xf numFmtId="0" fontId="2" fillId="17" borderId="0" applyNumberFormat="0" applyBorder="0" applyAlignment="0" applyProtection="0"/>
    <xf numFmtId="0" fontId="3" fillId="16" borderId="0" applyNumberFormat="0" applyBorder="0" applyAlignment="0" applyProtection="0"/>
    <xf numFmtId="0" fontId="3" fillId="19" borderId="0" applyNumberFormat="0" applyBorder="0" applyAlignment="0" applyProtection="0"/>
    <xf numFmtId="0" fontId="2" fillId="10" borderId="0" applyNumberFormat="0" applyBorder="0" applyAlignment="0" applyProtection="0"/>
    <xf numFmtId="0" fontId="3" fillId="11" borderId="0" applyNumberFormat="0" applyBorder="0" applyAlignment="0" applyProtection="0"/>
    <xf numFmtId="0" fontId="1" fillId="2" borderId="0" applyNumberFormat="0" applyBorder="0" applyAlignment="0" applyProtection="0"/>
    <xf numFmtId="0" fontId="2" fillId="12" borderId="0" applyNumberFormat="0" applyBorder="0" applyProtection="0">
      <alignment horizontal="left" vertical="center" indent="1"/>
    </xf>
    <xf numFmtId="0" fontId="2" fillId="13" borderId="0" applyNumberFormat="0" applyBorder="0" applyAlignment="0" applyProtection="0"/>
    <xf numFmtId="0" fontId="2" fillId="14" borderId="0" applyNumberFormat="0" applyBorder="0" applyAlignment="0" applyProtection="0"/>
    <xf numFmtId="1" fontId="1" fillId="0" borderId="0" applyFill="0" applyBorder="0" applyProtection="0">
      <alignment horizontal="center" vertical="center"/>
    </xf>
    <xf numFmtId="0" fontId="1" fillId="0" borderId="0" applyNumberFormat="0" applyFill="0" applyBorder="0">
      <alignment horizontal="left" vertical="center" wrapText="1" indent="2"/>
    </xf>
    <xf numFmtId="0" fontId="7" fillId="0" borderId="0">
      <alignment horizontal="center"/>
    </xf>
    <xf numFmtId="43" fontId="1" fillId="0" borderId="0" applyFont="0" applyFill="0" applyBorder="0" applyAlignment="0" applyProtection="0"/>
    <xf numFmtId="41" fontId="1" fillId="0" borderId="0" applyFont="0" applyFill="0" applyBorder="0" applyAlignment="0" applyProtection="0"/>
    <xf numFmtId="165"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8" fillId="21" borderId="0" applyNumberFormat="0" applyBorder="0" applyAlignment="0" applyProtection="0"/>
    <xf numFmtId="0" fontId="9" fillId="22" borderId="0" applyNumberFormat="0" applyBorder="0" applyAlignment="0" applyProtection="0"/>
    <xf numFmtId="0" fontId="10" fillId="23" borderId="0" applyNumberFormat="0" applyBorder="0" applyAlignment="0" applyProtection="0"/>
    <xf numFmtId="0" fontId="11" fillId="24" borderId="1" applyNumberFormat="0" applyAlignment="0" applyProtection="0"/>
    <xf numFmtId="0" fontId="12" fillId="25" borderId="2" applyNumberFormat="0" applyAlignment="0" applyProtection="0"/>
    <xf numFmtId="0" fontId="13" fillId="25" borderId="1" applyNumberFormat="0" applyAlignment="0" applyProtection="0"/>
    <xf numFmtId="0" fontId="14" fillId="0" borderId="3" applyNumberFormat="0" applyFill="0" applyAlignment="0" applyProtection="0"/>
    <xf numFmtId="0" fontId="15" fillId="26" borderId="4" applyNumberFormat="0" applyAlignment="0" applyProtection="0"/>
    <xf numFmtId="0" fontId="16" fillId="0" borderId="0" applyNumberFormat="0" applyFill="0" applyBorder="0" applyAlignment="0" applyProtection="0"/>
    <xf numFmtId="0" fontId="1" fillId="27" borderId="5" applyNumberFormat="0" applyFont="0" applyAlignment="0" applyProtection="0"/>
    <xf numFmtId="0" fontId="17" fillId="0" borderId="0" applyNumberFormat="0" applyFill="0" applyBorder="0" applyAlignment="0" applyProtection="0"/>
    <xf numFmtId="0" fontId="1" fillId="28" borderId="0" applyNumberFormat="0" applyBorder="0" applyAlignment="0" applyProtection="0"/>
    <xf numFmtId="0" fontId="1" fillId="29" borderId="0" applyNumberFormat="0" applyBorder="0" applyAlignment="0" applyProtection="0"/>
    <xf numFmtId="0" fontId="3"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0">
    <xf numFmtId="0" fontId="0" fillId="0" borderId="0" xfId="0">
      <alignment horizontal="left" vertical="center"/>
    </xf>
    <xf numFmtId="0" fontId="0" fillId="0" borderId="0" xfId="0" applyAlignment="1">
      <alignment horizontal="center" vertical="center"/>
    </xf>
    <xf numFmtId="0" fontId="2" fillId="15" borderId="0" xfId="12" applyAlignment="1" applyProtection="1">
      <alignment horizontal="center" vertical="center"/>
    </xf>
    <xf numFmtId="0" fontId="2" fillId="10" borderId="0" xfId="19" applyAlignment="1" applyProtection="1">
      <alignment horizontal="center" vertical="center"/>
    </xf>
    <xf numFmtId="0" fontId="2" fillId="13" borderId="0" xfId="23" applyAlignment="1" applyProtection="1">
      <alignment horizontal="center" vertical="center"/>
    </xf>
    <xf numFmtId="164" fontId="2" fillId="9" borderId="0" xfId="8" applyNumberFormat="1" applyAlignment="1" applyProtection="1">
      <alignment horizontal="center" vertical="center"/>
    </xf>
    <xf numFmtId="164" fontId="2" fillId="14" borderId="0" xfId="24" applyNumberFormat="1" applyAlignment="1" applyProtection="1">
      <alignment horizontal="center" vertical="center"/>
    </xf>
    <xf numFmtId="1" fontId="1" fillId="0" borderId="0" xfId="25" applyFill="1" applyBorder="1" applyProtection="1">
      <alignment horizontal="center" vertical="center"/>
    </xf>
    <xf numFmtId="0" fontId="5" fillId="2" borderId="0" xfId="3" applyProtection="1">
      <alignment horizontal="center" vertical="center"/>
    </xf>
    <xf numFmtId="164" fontId="0" fillId="0" borderId="0" xfId="0" applyNumberFormat="1" applyAlignment="1">
      <alignment horizontal="center" vertical="center"/>
    </xf>
    <xf numFmtId="0" fontId="6" fillId="0" borderId="0" xfId="1" applyProtection="1">
      <alignment vertical="top"/>
    </xf>
    <xf numFmtId="0" fontId="1" fillId="2" borderId="0" xfId="21" applyBorder="1" applyAlignment="1" applyProtection="1">
      <alignment horizontal="left" vertical="center" indent="1"/>
    </xf>
    <xf numFmtId="0" fontId="0" fillId="0" borderId="0" xfId="21" applyFont="1" applyFill="1" applyBorder="1" applyAlignment="1" applyProtection="1">
      <alignment horizontal="center" vertical="center"/>
    </xf>
    <xf numFmtId="0" fontId="0" fillId="0" borderId="0" xfId="0" applyAlignment="1">
      <alignment horizontal="left" vertical="center" wrapText="1"/>
    </xf>
    <xf numFmtId="0" fontId="2" fillId="20" borderId="0" xfId="4" applyProtection="1">
      <alignment horizontal="right" vertical="center" indent="1"/>
    </xf>
    <xf numFmtId="0" fontId="7" fillId="0" borderId="0" xfId="27">
      <alignment horizontal="center"/>
    </xf>
    <xf numFmtId="0" fontId="0" fillId="0" borderId="0" xfId="0" applyAlignment="1">
      <alignment horizontal="left" vertical="center" indent="1"/>
    </xf>
    <xf numFmtId="0" fontId="6" fillId="0" borderId="0" xfId="1">
      <alignment vertical="top"/>
    </xf>
    <xf numFmtId="0" fontId="1" fillId="0" borderId="0" xfId="26" applyNumberFormat="1" applyFill="1" applyAlignment="1">
      <alignment vertical="center" wrapText="1"/>
    </xf>
    <xf numFmtId="0" fontId="0" fillId="0" borderId="0" xfId="0" applyAlignment="1">
      <alignment vertical="center"/>
    </xf>
    <xf numFmtId="0" fontId="2" fillId="33" borderId="0" xfId="12" applyFill="1" applyAlignment="1" applyProtection="1">
      <alignment horizontal="center" vertical="center"/>
    </xf>
    <xf numFmtId="164" fontId="2" fillId="34" borderId="0" xfId="24" applyNumberFormat="1" applyFill="1" applyAlignment="1" applyProtection="1">
      <alignment horizontal="center" vertical="center"/>
    </xf>
    <xf numFmtId="0" fontId="2" fillId="35" borderId="0" xfId="23" applyFill="1" applyAlignment="1" applyProtection="1">
      <alignment horizontal="center" vertical="center"/>
    </xf>
    <xf numFmtId="0" fontId="1" fillId="0" borderId="0" xfId="26" applyAlignment="1">
      <alignment vertical="center" wrapText="1"/>
    </xf>
    <xf numFmtId="1" fontId="0" fillId="0" borderId="0" xfId="0" applyNumberFormat="1">
      <alignment horizontal="left" vertical="center"/>
    </xf>
    <xf numFmtId="0" fontId="0" fillId="36" borderId="0" xfId="0" applyFill="1" applyAlignment="1">
      <alignment horizontal="center" vertical="center"/>
    </xf>
    <xf numFmtId="0" fontId="0" fillId="37" borderId="0" xfId="0" applyFill="1" applyAlignment="1">
      <alignment horizontal="center" vertical="center"/>
    </xf>
    <xf numFmtId="0" fontId="3" fillId="38" borderId="6" xfId="0" applyFont="1" applyFill="1" applyBorder="1" applyAlignment="1">
      <alignment horizontal="center" vertical="center"/>
    </xf>
    <xf numFmtId="0" fontId="5" fillId="2" borderId="0" xfId="3" applyProtection="1">
      <alignment horizontal="center" vertical="center"/>
    </xf>
    <xf numFmtId="0" fontId="1" fillId="2" borderId="0" xfId="21" applyAlignment="1" applyProtection="1">
      <alignment horizontal="left" vertical="center"/>
    </xf>
  </cellXfs>
  <cellStyles count="49">
    <cellStyle name="20% - Accent1" xfId="15" builtinId="30" customBuiltin="1"/>
    <cellStyle name="20% - Accent2" xfId="44" builtinId="34" customBuiltin="1"/>
    <cellStyle name="20% - Accent3" xfId="21" builtinId="38" customBuiltin="1"/>
    <cellStyle name="20% - Accent4" xfId="7" builtinId="42" customBuiltin="1"/>
    <cellStyle name="20% - Accent5" xfId="47" builtinId="46" customBuiltin="1"/>
    <cellStyle name="20% - Accent6" xfId="11" builtinId="50" customBuiltin="1"/>
    <cellStyle name="40% - Accent1" xfId="16" builtinId="31" customBuiltin="1"/>
    <cellStyle name="40% - Accent2" xfId="19" builtinId="35" customBuiltin="1"/>
    <cellStyle name="40% - Accent3" xfId="22" builtinId="39" customBuiltin="1"/>
    <cellStyle name="40% - Accent4" xfId="8" builtinId="43" customBuiltin="1"/>
    <cellStyle name="40% - Accent5" xfId="24" builtinId="47" customBuiltin="1"/>
    <cellStyle name="40% - Accent6" xfId="12" builtinId="51" customBuiltin="1"/>
    <cellStyle name="60% - Accent1" xfId="17" builtinId="32" customBuiltin="1"/>
    <cellStyle name="60% - Accent2" xfId="45" builtinId="36" customBuiltin="1"/>
    <cellStyle name="60% - Accent3" xfId="23" builtinId="40" customBuiltin="1"/>
    <cellStyle name="60% - Accent4" xfId="9" builtinId="44" customBuiltin="1"/>
    <cellStyle name="60% - Accent5" xfId="48" builtinId="48" customBuiltin="1"/>
    <cellStyle name="60% - Accent6" xfId="13" builtinId="52" customBuiltin="1"/>
    <cellStyle name="Accent1" xfId="14" builtinId="29" customBuiltin="1"/>
    <cellStyle name="Accent2" xfId="18" builtinId="33" customBuiltin="1"/>
    <cellStyle name="Accent3" xfId="20" builtinId="37" customBuiltin="1"/>
    <cellStyle name="Accent4" xfId="6" builtinId="41" customBuiltin="1"/>
    <cellStyle name="Accent5" xfId="46" builtinId="45" customBuiltin="1"/>
    <cellStyle name="Accent6" xfId="10" builtinId="49" customBuiltin="1"/>
    <cellStyle name="Berekening" xfId="38" builtinId="22" customBuiltin="1"/>
    <cellStyle name="Controlecel" xfId="40" builtinId="23" customBuiltin="1"/>
    <cellStyle name="Etiket" xfId="27" xr:uid="{00000000-0005-0000-0000-000018000000}"/>
    <cellStyle name="Gekoppelde cel" xfId="39" builtinId="24" customBuiltin="1"/>
    <cellStyle name="Goed" xfId="33" builtinId="26" customBuiltin="1"/>
    <cellStyle name="Invoer" xfId="36" builtinId="20" customBuiltin="1"/>
    <cellStyle name="Komma" xfId="28" builtinId="3" customBuiltin="1"/>
    <cellStyle name="Komma [0]" xfId="29" builtinId="6" customBuiltin="1"/>
    <cellStyle name="Kop 1" xfId="2" builtinId="16" customBuiltin="1"/>
    <cellStyle name="Kop 2" xfId="3" builtinId="17" customBuiltin="1"/>
    <cellStyle name="Kop 3" xfId="4" builtinId="18" customBuiltin="1"/>
    <cellStyle name="Kop 4" xfId="5" builtinId="19" customBuiltin="1"/>
    <cellStyle name="Neutraal" xfId="35" builtinId="28" customBuiltin="1"/>
    <cellStyle name="Notitie" xfId="42" builtinId="10" customBuiltin="1"/>
    <cellStyle name="Ongeldig" xfId="34" builtinId="27" customBuiltin="1"/>
    <cellStyle name="Procent" xfId="32" builtinId="5" customBuiltin="1"/>
    <cellStyle name="Standaard" xfId="0" builtinId="0" customBuiltin="1"/>
    <cellStyle name="Titel" xfId="1" builtinId="15" customBuiltin="1"/>
    <cellStyle name="Totaal" xfId="25" builtinId="25" customBuiltin="1"/>
    <cellStyle name="Uitvoer" xfId="37" builtinId="21" customBuiltin="1"/>
    <cellStyle name="Valuta" xfId="30" builtinId="4" customBuiltin="1"/>
    <cellStyle name="Valuta [0]" xfId="31" builtinId="7" customBuiltin="1"/>
    <cellStyle name="Verklarende tekst" xfId="43" builtinId="53" customBuiltin="1"/>
    <cellStyle name="Waarschuwingstekst" xfId="41" builtinId="11" customBuiltin="1"/>
    <cellStyle name="Werknemer" xfId="26" xr:uid="{00000000-0005-0000-0000-000013000000}"/>
  </cellStyles>
  <dxfs count="831">
    <dxf>
      <font>
        <b val="0"/>
        <i val="0"/>
        <strike val="0"/>
        <condense val="0"/>
        <extend val="0"/>
        <outline val="0"/>
        <shadow val="0"/>
        <u val="none"/>
        <vertAlign val="baseline"/>
        <sz val="11"/>
        <color theme="1"/>
        <name val="Calibri"/>
        <family val="2"/>
        <scheme val="minor"/>
      </font>
      <alignment horizontal="left" vertical="center" textRotation="0" wrapText="1" indent="2" justifyLastLine="0" shrinkToFit="0" readingOrder="0"/>
      <protection locked="1" hidden="0"/>
    </dxf>
    <dxf>
      <numFmt numFmtId="164" formatCode="0;0;"/>
      <alignment horizontal="center" vertical="center" textRotation="0" wrapText="0" indent="0" justifyLastLine="0" shrinkToFit="0" readingOrder="0"/>
    </dxf>
    <dxf>
      <numFmt numFmtId="1" formatCode="0"/>
      <fill>
        <patternFill patternType="none">
          <fgColor indexed="64"/>
          <bgColor indexed="65"/>
        </patternFill>
      </fill>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alignment horizontal="left" vertical="center" textRotation="0" wrapText="0" indent="1" justifyLastLine="0" shrinkToFit="0" readingOrder="0"/>
    </dxf>
    <dxf>
      <numFmt numFmtId="0" formatCode="General"/>
      <fill>
        <patternFill patternType="none">
          <fgColor indexed="64"/>
          <bgColor indexed="65"/>
        </patternFill>
      </fill>
      <protection locked="1" hidden="0"/>
    </dxf>
    <dxf>
      <protection locked="1" hidden="0"/>
    </dxf>
    <dxf>
      <fill>
        <patternFill patternType="solid">
          <fgColor indexed="64"/>
          <bgColor rgb="FFFFFFFF"/>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64" formatCode="0;0;"/>
      <alignment horizontal="center" vertical="center" textRotation="0" wrapText="0" indent="0" justifyLastLine="0" shrinkToFit="0" readingOrder="0"/>
    </dxf>
    <dxf>
      <numFmt numFmtId="1" formatCode="0"/>
      <fill>
        <patternFill patternType="none">
          <fgColor indexed="64"/>
          <bgColor indexed="65"/>
        </patternFill>
      </fill>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alignment horizontal="left" vertical="center" textRotation="0" wrapText="0" indent="1" justifyLastLine="0" shrinkToFit="0" readingOrder="0"/>
    </dxf>
    <dxf>
      <numFmt numFmtId="0" formatCode="General"/>
      <fill>
        <patternFill patternType="none">
          <fgColor indexed="64"/>
          <bgColor indexed="65"/>
        </patternFill>
      </fill>
      <protection locked="1" hidden="0"/>
    </dxf>
    <dxf>
      <protection locked="1" hidden="0"/>
    </dxf>
    <dxf>
      <fill>
        <patternFill patternType="solid">
          <fgColor indexed="64"/>
          <bgColor rgb="FFFFFFFF"/>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64" formatCode="0;0;"/>
      <alignment horizontal="center" vertical="center" textRotation="0" wrapText="0" indent="0" justifyLastLine="0" shrinkToFit="0" readingOrder="0"/>
    </dxf>
    <dxf>
      <numFmt numFmtId="1" formatCode="0"/>
      <fill>
        <patternFill patternType="none">
          <fgColor indexed="64"/>
          <bgColor indexed="65"/>
        </patternFill>
      </fill>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alignment horizontal="left" vertical="center" textRotation="0" wrapText="0" indent="1" justifyLastLine="0" shrinkToFit="0" readingOrder="0"/>
    </dxf>
    <dxf>
      <numFmt numFmtId="0" formatCode="General"/>
      <fill>
        <patternFill patternType="none">
          <fgColor indexed="64"/>
          <bgColor indexed="65"/>
        </patternFill>
      </fill>
      <protection locked="1" hidden="0"/>
    </dxf>
    <dxf>
      <protection locked="1" hidden="0"/>
    </dxf>
    <dxf>
      <fill>
        <patternFill patternType="solid">
          <fgColor indexed="64"/>
          <bgColor rgb="FFFFFFFF"/>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64" formatCode="0;0;"/>
      <alignment horizontal="center" vertical="center" textRotation="0" wrapText="0" indent="0" justifyLastLine="0" shrinkToFit="0" readingOrder="0"/>
    </dxf>
    <dxf>
      <numFmt numFmtId="1" formatCode="0"/>
      <fill>
        <patternFill patternType="none">
          <fgColor indexed="64"/>
          <bgColor indexed="65"/>
        </patternFill>
      </fill>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alignment horizontal="left" vertical="center" textRotation="0" wrapText="0" indent="1" justifyLastLine="0" shrinkToFit="0" readingOrder="0"/>
    </dxf>
    <dxf>
      <numFmt numFmtId="0" formatCode="General"/>
      <fill>
        <patternFill patternType="none">
          <fgColor indexed="64"/>
          <bgColor indexed="65"/>
        </patternFill>
      </fill>
      <protection locked="1" hidden="0"/>
    </dxf>
    <dxf>
      <protection locked="1" hidden="0"/>
    </dxf>
    <dxf>
      <fill>
        <patternFill patternType="solid">
          <fgColor indexed="64"/>
          <bgColor rgb="FFFFFFFF"/>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64" formatCode="0;0;"/>
      <alignment horizontal="center" vertical="center" textRotation="0" wrapText="0" indent="0" justifyLastLine="0" shrinkToFit="0" readingOrder="0"/>
    </dxf>
    <dxf>
      <numFmt numFmtId="1" formatCode="0"/>
      <fill>
        <patternFill patternType="none">
          <fgColor indexed="64"/>
          <bgColor indexed="65"/>
        </patternFill>
      </fill>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alignment horizontal="left" vertical="center" textRotation="0" wrapText="0" indent="1" justifyLastLine="0" shrinkToFit="0" readingOrder="0"/>
    </dxf>
    <dxf>
      <numFmt numFmtId="0" formatCode="General"/>
      <fill>
        <patternFill patternType="none">
          <fgColor indexed="64"/>
          <bgColor indexed="65"/>
        </patternFill>
      </fill>
      <protection locked="1" hidden="0"/>
    </dxf>
    <dxf>
      <protection locked="1" hidden="0"/>
    </dxf>
    <dxf>
      <fill>
        <patternFill patternType="solid">
          <fgColor indexed="64"/>
          <bgColor rgb="FFFFFFFF"/>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64" formatCode="0;0;"/>
      <alignment horizontal="center" vertical="center" textRotation="0" wrapText="0" indent="0" justifyLastLine="0" shrinkToFit="0" readingOrder="0"/>
    </dxf>
    <dxf>
      <numFmt numFmtId="1" formatCode="0"/>
      <fill>
        <patternFill patternType="none">
          <fgColor indexed="64"/>
          <bgColor indexed="65"/>
        </patternFill>
      </fill>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alignment horizontal="left" vertical="center" textRotation="0" wrapText="0" indent="1" justifyLastLine="0" shrinkToFit="0" readingOrder="0"/>
    </dxf>
    <dxf>
      <numFmt numFmtId="0" formatCode="General"/>
      <fill>
        <patternFill patternType="none">
          <fgColor indexed="64"/>
          <bgColor indexed="65"/>
        </patternFill>
      </fill>
      <protection locked="1" hidden="0"/>
    </dxf>
    <dxf>
      <protection locked="1" hidden="0"/>
    </dxf>
    <dxf>
      <fill>
        <patternFill patternType="solid">
          <fgColor indexed="64"/>
          <bgColor rgb="FFFFFFFF"/>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64" formatCode="0;0;"/>
      <alignment horizontal="center" vertical="center" textRotation="0" wrapText="0" indent="0" justifyLastLine="0" shrinkToFit="0" readingOrder="0"/>
    </dxf>
    <dxf>
      <numFmt numFmtId="1" formatCode="0"/>
      <fill>
        <patternFill patternType="none">
          <fgColor indexed="64"/>
          <bgColor indexed="65"/>
        </patternFill>
      </fill>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alignment horizontal="left" vertical="center" textRotation="0" wrapText="0" indent="1" justifyLastLine="0" shrinkToFit="0" readingOrder="0"/>
    </dxf>
    <dxf>
      <numFmt numFmtId="0" formatCode="General"/>
      <fill>
        <patternFill patternType="none">
          <fgColor indexed="64"/>
          <bgColor indexed="65"/>
        </patternFill>
      </fill>
      <protection locked="1" hidden="0"/>
    </dxf>
    <dxf>
      <protection locked="1" hidden="0"/>
    </dxf>
    <dxf>
      <fill>
        <patternFill patternType="solid">
          <fgColor indexed="64"/>
          <bgColor rgb="FFFFFFFF"/>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64" formatCode="0;0;"/>
      <alignment horizontal="center" vertical="center" textRotation="0" wrapText="0" indent="0" justifyLastLine="0" shrinkToFit="0" readingOrder="0"/>
    </dxf>
    <dxf>
      <numFmt numFmtId="1" formatCode="0"/>
      <fill>
        <patternFill patternType="none">
          <fgColor indexed="64"/>
          <bgColor indexed="65"/>
        </patternFill>
      </fill>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protection locked="1" hidden="0"/>
    </dxf>
    <dxf>
      <alignment horizontal="left" vertical="center" textRotation="0" wrapText="0" indent="1" justifyLastLine="0" shrinkToFit="0" readingOrder="0"/>
    </dxf>
    <dxf>
      <numFmt numFmtId="0" formatCode="General"/>
      <fill>
        <patternFill patternType="none">
          <fgColor indexed="64"/>
          <bgColor indexed="65"/>
        </patternFill>
      </fill>
      <protection locked="1" hidden="0"/>
    </dxf>
    <dxf>
      <protection locked="1" hidden="0"/>
    </dxf>
    <dxf>
      <fill>
        <patternFill patternType="none">
          <fgColor indexed="64"/>
          <bgColor indexed="65"/>
        </patternFill>
      </fill>
      <alignment horizontal="center" vertical="center" textRotation="0" wrapText="0" indent="0" justifyLastLine="0" shrinkToFit="0" readingOrder="0"/>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64" formatCode="0;0;"/>
      <alignment horizontal="center" vertical="center" textRotation="0" wrapText="0" indent="0" justifyLastLine="0" shrinkToFit="0" readingOrder="0"/>
    </dxf>
    <dxf>
      <numFmt numFmtId="1" formatCode="0"/>
      <fill>
        <patternFill patternType="none">
          <fgColor indexed="64"/>
          <bgColor indexed="65"/>
        </patternFill>
      </fill>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C8C8C8"/>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fill>
        <patternFill patternType="solid">
          <fgColor indexed="64"/>
          <bgColor rgb="FFFFFFFF"/>
        </patternFill>
      </fill>
      <alignment horizontal="center" vertical="center" textRotation="0" wrapText="0" indent="0" justifyLastLine="0" shrinkToFit="0" readingOrder="0"/>
      <protection locked="1" hidden="0"/>
    </dxf>
    <dxf>
      <alignment horizontal="left" vertical="center" textRotation="0" wrapText="0" indent="1" justifyLastLine="0" shrinkToFit="0" readingOrder="0"/>
    </dxf>
    <dxf>
      <fill>
        <patternFill patternType="none">
          <fgColor indexed="64"/>
          <bgColor indexed="65"/>
        </patternFill>
      </fill>
      <protection locked="1" hidden="0"/>
    </dxf>
    <dxf>
      <protection locked="1" hidden="0"/>
    </dxf>
    <dxf>
      <fill>
        <patternFill patternType="solid">
          <fgColor indexed="64"/>
          <bgColor rgb="FFFFFFFF"/>
        </patternFill>
      </fill>
      <alignment horizontal="center" vertical="center" textRotation="0" wrapText="0" indent="0" justifyLastLine="0" shrinkToFit="0" readingOrder="0"/>
      <protection locked="1" hidden="0"/>
    </dxf>
    <dxf>
      <alignment horizontal="center" vertical="center" textRotation="0" wrapText="0" indent="0" justifyLastLine="0" shrinkToFit="0" readingOrder="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numFmt numFmtId="164" formatCode="0;0;"/>
      <alignment horizontal="center" vertical="center" textRotation="0" wrapText="0" indent="0" justifyLastLine="0" shrinkToFit="0" readingOrder="0"/>
    </dxf>
    <dxf>
      <numFmt numFmtId="1" formatCode="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protection locked="1" hidden="0"/>
    </dxf>
    <dxf>
      <numFmt numFmtId="164" formatCode="0;0;"/>
      <alignment horizontal="center" vertical="center" textRotation="0" wrapText="0" indent="0" justifyLastLine="0" shrinkToFit="0" readingOrder="0"/>
    </dxf>
    <dxf>
      <protection locked="1" hidden="0"/>
    </dxf>
    <dxf>
      <protection locked="1" hidden="0"/>
    </dxf>
    <dxf>
      <protection locked="1" hidden="0"/>
    </dxf>
    <dxf>
      <protection locked="1" hidden="0"/>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ont>
        <color theme="1"/>
      </font>
      <fill>
        <patternFill>
          <bgColor theme="4" tint="0.39994506668294322"/>
        </patternFill>
      </fill>
    </dxf>
    <dxf>
      <font>
        <color theme="1"/>
      </font>
      <fill>
        <patternFill>
          <bgColor theme="5" tint="0.59996337778862885"/>
        </patternFill>
      </fill>
    </dxf>
    <dxf>
      <font>
        <color theme="1"/>
      </font>
      <fill>
        <patternFill>
          <bgColor theme="6" tint="0.39994506668294322"/>
        </patternFill>
      </fill>
    </dxf>
    <dxf>
      <font>
        <color theme="1"/>
      </font>
      <fill>
        <patternFill>
          <bgColor theme="7" tint="0.59996337778862885"/>
        </patternFill>
      </fill>
    </dxf>
    <dxf>
      <font>
        <color theme="1"/>
      </font>
      <fill>
        <patternFill>
          <bgColor theme="8" tint="0.59996337778862885"/>
        </patternFill>
      </fill>
    </dxf>
    <dxf>
      <fill>
        <patternFill patternType="solid">
          <bgColor theme="6" tint="0.79998168889431442"/>
        </patternFill>
      </fill>
      <border diagonalUp="0" diagonalDown="0">
        <left/>
        <right/>
        <top style="thin">
          <color theme="0" tint="-0.14996795556505021"/>
        </top>
        <bottom style="medium">
          <color theme="2" tint="-0.499984740745262"/>
        </bottom>
        <vertical/>
        <horizontal/>
      </border>
    </dxf>
    <dxf>
      <font>
        <color theme="1"/>
      </font>
      <fill>
        <patternFill patternType="solid">
          <bgColor theme="6" tint="0.79998168889431442"/>
        </patternFill>
      </fill>
      <border diagonalUp="0" diagonalDown="0">
        <left/>
        <right/>
        <top style="thin">
          <color theme="0" tint="-0.14993743705557422"/>
        </top>
        <bottom style="medium">
          <color theme="2" tint="-0.499984740745262"/>
        </bottom>
        <vertical/>
        <horizontal style="thin">
          <color theme="0" tint="-0.14993743705557422"/>
        </horizontal>
      </border>
    </dxf>
    <dxf>
      <font>
        <color theme="1"/>
      </font>
      <fill>
        <patternFill patternType="solid">
          <bgColor theme="2"/>
        </patternFill>
      </fill>
      <border diagonalUp="0" diagonalDown="0">
        <left/>
        <right/>
        <top/>
        <bottom style="thin">
          <color theme="0" tint="-0.14996795556505021"/>
        </bottom>
        <vertical/>
        <horizontal/>
      </border>
    </dxf>
    <dxf>
      <font>
        <color theme="1"/>
      </font>
      <fill>
        <patternFill patternType="none">
          <bgColor auto="1"/>
        </patternFill>
      </fill>
      <border diagonalUp="0" diagonalDown="0">
        <left/>
        <right/>
        <top style="thin">
          <color theme="0" tint="-0.14996795556505021"/>
        </top>
        <bottom style="thin">
          <color theme="0" tint="-0.14993743705557422"/>
        </bottom>
        <vertical/>
        <horizontal/>
      </border>
    </dxf>
    <dxf>
      <fill>
        <patternFill>
          <bgColor theme="0" tint="-0.14996795556505021"/>
        </patternFill>
      </fill>
      <border>
        <left style="thin">
          <color theme="0"/>
        </left>
        <right style="thin">
          <color theme="0"/>
        </right>
        <vertical style="thin">
          <color theme="0"/>
        </vertical>
      </border>
    </dxf>
    <dxf>
      <fill>
        <patternFill>
          <bgColor theme="0" tint="-4.9989318521683403E-2"/>
        </patternFill>
      </fill>
      <border>
        <left style="thin">
          <color theme="0"/>
        </left>
        <right style="thin">
          <color theme="0"/>
        </right>
        <vertical style="thin">
          <color theme="0"/>
        </vertical>
      </border>
    </dxf>
    <dxf>
      <fill>
        <patternFill>
          <bgColor theme="0" tint="-0.14996795556505021"/>
        </patternFill>
      </fill>
    </dxf>
    <dxf>
      <fill>
        <patternFill patternType="solid">
          <fgColor theme="4" tint="0.79992065187536243"/>
          <bgColor theme="0" tint="-4.9989318521683403E-2"/>
        </patternFill>
      </fill>
    </dxf>
    <dxf>
      <font>
        <color theme="1"/>
      </font>
      <fill>
        <patternFill patternType="none">
          <bgColor auto="1"/>
        </patternFill>
      </fill>
      <border diagonalUp="0" diagonalDown="0">
        <left/>
        <right/>
        <top/>
        <bottom style="thin">
          <color theme="0" tint="-0.14996795556505021"/>
        </bottom>
        <vertical/>
        <horizontal style="thin">
          <color theme="0" tint="-0.14996795556505021"/>
        </horizontal>
      </border>
    </dxf>
    <dxf>
      <font>
        <color theme="1"/>
      </font>
      <fill>
        <patternFill patternType="none">
          <bgColor auto="1"/>
        </patternFill>
      </fill>
      <border>
        <left/>
        <right/>
        <top style="thin">
          <color theme="2" tint="-9.9917600024414813E-2"/>
        </top>
        <bottom style="thin">
          <color theme="2" tint="-9.9948118533890809E-2"/>
        </bottom>
        <vertical/>
        <horizontal style="thin">
          <color theme="2" tint="-9.9917600024414813E-2"/>
        </horizontal>
      </border>
    </dxf>
    <dxf>
      <font>
        <color theme="1"/>
      </font>
      <fill>
        <patternFill>
          <bgColor theme="6" tint="0.79998168889431442"/>
        </patternFill>
      </fill>
      <border diagonalUp="0" diagonalDown="0">
        <left style="thin">
          <color theme="0"/>
        </left>
        <right style="thin">
          <color theme="0"/>
        </right>
        <top/>
        <bottom style="medium">
          <color theme="2" tint="-0.499984740745262"/>
        </bottom>
        <vertical style="thin">
          <color theme="0"/>
        </vertical>
        <horizontal/>
      </border>
    </dxf>
    <dxf>
      <font>
        <color theme="0"/>
      </font>
      <fill>
        <patternFill>
          <bgColor theme="3"/>
        </patternFill>
      </fill>
    </dxf>
    <dxf>
      <font>
        <color theme="1"/>
      </font>
      <border diagonalUp="0" diagonalDown="0">
        <left/>
        <right/>
        <top/>
        <bottom/>
        <vertical style="thin">
          <color theme="0"/>
        </vertical>
        <horizontal/>
      </border>
    </dxf>
  </dxfs>
  <tableStyles count="1" defaultPivotStyle="PivotStyleLight16">
    <tableStyle name="Werknemers Verzuimtabel" pivot="0" count="13" xr9:uid="{00000000-0011-0000-FFFF-FFFF00000000}">
      <tableStyleElement type="wholeTable" dxfId="830"/>
      <tableStyleElement type="headerRow" dxfId="829"/>
      <tableStyleElement type="totalRow" dxfId="828"/>
      <tableStyleElement type="firstColumn" dxfId="827"/>
      <tableStyleElement type="lastColumn" dxfId="826"/>
      <tableStyleElement type="firstRowStripe" dxfId="825"/>
      <tableStyleElement type="secondRowStripe" dxfId="824"/>
      <tableStyleElement type="firstColumnStripe" dxfId="823"/>
      <tableStyleElement type="secondColumnStripe" dxfId="822"/>
      <tableStyleElement type="firstHeaderCell" dxfId="821"/>
      <tableStyleElement type="lastHeaderCell" dxfId="820"/>
      <tableStyleElement type="firstTotalCell" dxfId="819"/>
      <tableStyleElement type="lastTotalCell" dxfId="8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Januari" displayName="Januari" ref="B6:AH19" totalsRowCount="1" headerRowDxfId="792" dataDxfId="791" totalsRowDxfId="790">
  <autoFilter ref="B6:AH18"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autoFilter>
  <tableColumns count="33">
    <tableColumn id="1" xr3:uid="{00000000-0010-0000-0000-000001000000}" name="Naam van werknemer">
      <calculatedColumnFormula>Werknemersnamen!B4</calculatedColumnFormula>
    </tableColumn>
    <tableColumn id="2" xr3:uid="{00000000-0010-0000-0000-000002000000}" name="1" dataDxfId="789" totalsRowDxfId="788"/>
    <tableColumn id="3" xr3:uid="{00000000-0010-0000-0000-000003000000}" name="2" dataDxfId="787" totalsRowDxfId="786"/>
    <tableColumn id="4" xr3:uid="{00000000-0010-0000-0000-000004000000}" name="3" dataDxfId="785" totalsRowDxfId="784"/>
    <tableColumn id="5" xr3:uid="{00000000-0010-0000-0000-000005000000}" name="4" dataDxfId="783" totalsRowDxfId="782"/>
    <tableColumn id="6" xr3:uid="{00000000-0010-0000-0000-000006000000}" name="5" totalsRowDxfId="781"/>
    <tableColumn id="7" xr3:uid="{00000000-0010-0000-0000-000007000000}" name="6" dataDxfId="780" totalsRowDxfId="779"/>
    <tableColumn id="8" xr3:uid="{00000000-0010-0000-0000-000008000000}" name="7" dataDxfId="778" totalsRowDxfId="777"/>
    <tableColumn id="9" xr3:uid="{00000000-0010-0000-0000-000009000000}" name="8" dataDxfId="776" totalsRowDxfId="775"/>
    <tableColumn id="10" xr3:uid="{00000000-0010-0000-0000-00000A000000}" name="9" dataDxfId="774" totalsRowDxfId="773"/>
    <tableColumn id="11" xr3:uid="{00000000-0010-0000-0000-00000B000000}" name="10" dataDxfId="772" totalsRowDxfId="771"/>
    <tableColumn id="12" xr3:uid="{00000000-0010-0000-0000-00000C000000}" name="11" dataDxfId="770" totalsRowDxfId="769"/>
    <tableColumn id="13" xr3:uid="{00000000-0010-0000-0000-00000D000000}" name="12" dataDxfId="768" totalsRowDxfId="767"/>
    <tableColumn id="14" xr3:uid="{00000000-0010-0000-0000-00000E000000}" name="13" dataDxfId="766" totalsRowDxfId="765"/>
    <tableColumn id="15" xr3:uid="{00000000-0010-0000-0000-00000F000000}" name="14" dataDxfId="764" totalsRowDxfId="763"/>
    <tableColumn id="16" xr3:uid="{00000000-0010-0000-0000-000010000000}" name="15" dataDxfId="762" totalsRowDxfId="761"/>
    <tableColumn id="17" xr3:uid="{00000000-0010-0000-0000-000011000000}" name="16" dataDxfId="760" totalsRowDxfId="759"/>
    <tableColumn id="18" xr3:uid="{00000000-0010-0000-0000-000012000000}" name="17" dataDxfId="758" totalsRowDxfId="757"/>
    <tableColumn id="19" xr3:uid="{00000000-0010-0000-0000-000013000000}" name="18" dataDxfId="756" totalsRowDxfId="755"/>
    <tableColumn id="20" xr3:uid="{00000000-0010-0000-0000-000014000000}" name="19" dataDxfId="754" totalsRowDxfId="753"/>
    <tableColumn id="21" xr3:uid="{00000000-0010-0000-0000-000015000000}" name="20" dataDxfId="752" totalsRowDxfId="751"/>
    <tableColumn id="22" xr3:uid="{00000000-0010-0000-0000-000016000000}" name="21" dataDxfId="750" totalsRowDxfId="749"/>
    <tableColumn id="23" xr3:uid="{00000000-0010-0000-0000-000017000000}" name="22" dataDxfId="748" totalsRowDxfId="747"/>
    <tableColumn id="24" xr3:uid="{00000000-0010-0000-0000-000018000000}" name="23" dataDxfId="746" totalsRowDxfId="745"/>
    <tableColumn id="25" xr3:uid="{00000000-0010-0000-0000-000019000000}" name="24" dataDxfId="744" totalsRowDxfId="743"/>
    <tableColumn id="26" xr3:uid="{00000000-0010-0000-0000-00001A000000}" name="25" dataDxfId="742" totalsRowDxfId="741"/>
    <tableColumn id="27" xr3:uid="{00000000-0010-0000-0000-00001B000000}" name="26" dataDxfId="740" totalsRowDxfId="739"/>
    <tableColumn id="28" xr3:uid="{00000000-0010-0000-0000-00001C000000}" name="27" dataDxfId="738" totalsRowDxfId="737"/>
    <tableColumn id="29" xr3:uid="{00000000-0010-0000-0000-00001D000000}" name="28" dataDxfId="736" totalsRowDxfId="735"/>
    <tableColumn id="30" xr3:uid="{00000000-0010-0000-0000-00001E000000}" name="29" dataDxfId="734" totalsRowDxfId="733"/>
    <tableColumn id="31" xr3:uid="{00000000-0010-0000-0000-00001F000000}" name="30" dataDxfId="732" totalsRowDxfId="731"/>
    <tableColumn id="32" xr3:uid="{00000000-0010-0000-0000-000020000000}" name="31" dataDxfId="730" totalsRowDxfId="729"/>
    <tableColumn id="33" xr3:uid="{00000000-0010-0000-0000-000021000000}" name="Totaal aantal uren" dataDxfId="728" totalsRowDxfId="727" dataCellStyle="Totaal">
      <calculatedColumnFormula>SUM($C$18:$AH$18)</calculatedColumnFormula>
    </tableColumn>
  </tableColumns>
  <tableStyleInfo name="Werknemers Verzuimtabel" showFirstColumn="1" showLastColumn="1" showRowStripes="1" showColumnStripes="0"/>
  <extLst>
    <ext xmlns:x14="http://schemas.microsoft.com/office/spreadsheetml/2009/9/main" uri="{504A1905-F514-4f6f-8877-14C23A59335A}">
      <x14:table altTextSummary="Geef de namen van werknemers en verzuimdatums op. Registreer het verzuimtype volgens de sleutel in rij 12: V=vakantie, S=ziek, P=persoonlijk en twee tijdelijke aanduidingen voor aangepaste vermeldingen"/>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Februari" displayName="Februari" ref="B6:AH19" totalsRowCount="1" headerRowDxfId="721" dataDxfId="720" totalsRowDxfId="719">
  <tableColumns count="33">
    <tableColumn id="1" xr3:uid="{00000000-0010-0000-0100-000001000000}" name="Naam van werknemer" dataDxfId="718" totalsRowDxfId="717" dataCellStyle="Werknemer">
      <calculatedColumnFormula>Werknemersnamen!B4</calculatedColumnFormula>
    </tableColumn>
    <tableColumn id="2" xr3:uid="{00000000-0010-0000-0100-000002000000}" name="1" dataDxfId="716" totalsRowDxfId="715"/>
    <tableColumn id="3" xr3:uid="{00000000-0010-0000-0100-000003000000}" name="2" dataDxfId="714" totalsRowDxfId="713"/>
    <tableColumn id="4" xr3:uid="{00000000-0010-0000-0100-000004000000}" name="3" dataDxfId="712" totalsRowDxfId="711"/>
    <tableColumn id="5" xr3:uid="{00000000-0010-0000-0100-000005000000}" name="4" dataDxfId="710" totalsRowDxfId="709"/>
    <tableColumn id="6" xr3:uid="{00000000-0010-0000-0100-000006000000}" name="5" dataDxfId="708" totalsRowDxfId="707"/>
    <tableColumn id="7" xr3:uid="{00000000-0010-0000-0100-000007000000}" name="6" dataDxfId="706" totalsRowDxfId="705"/>
    <tableColumn id="8" xr3:uid="{00000000-0010-0000-0100-000008000000}" name="7" dataDxfId="704" totalsRowDxfId="703"/>
    <tableColumn id="9" xr3:uid="{00000000-0010-0000-0100-000009000000}" name="8" dataDxfId="702" totalsRowDxfId="701"/>
    <tableColumn id="10" xr3:uid="{00000000-0010-0000-0100-00000A000000}" name="9" dataDxfId="700" totalsRowDxfId="699"/>
    <tableColumn id="11" xr3:uid="{00000000-0010-0000-0100-00000B000000}" name="10" dataDxfId="698" totalsRowDxfId="697"/>
    <tableColumn id="12" xr3:uid="{00000000-0010-0000-0100-00000C000000}" name="11" dataDxfId="696" totalsRowDxfId="695"/>
    <tableColumn id="13" xr3:uid="{00000000-0010-0000-0100-00000D000000}" name="12" dataDxfId="694" totalsRowDxfId="693"/>
    <tableColumn id="14" xr3:uid="{00000000-0010-0000-0100-00000E000000}" name="13" dataDxfId="692" totalsRowDxfId="691"/>
    <tableColumn id="15" xr3:uid="{00000000-0010-0000-0100-00000F000000}" name="14" dataDxfId="690" totalsRowDxfId="689"/>
    <tableColumn id="16" xr3:uid="{00000000-0010-0000-0100-000010000000}" name="15" dataDxfId="688" totalsRowDxfId="687"/>
    <tableColumn id="17" xr3:uid="{00000000-0010-0000-0100-000011000000}" name="16" dataDxfId="686" totalsRowDxfId="685"/>
    <tableColumn id="18" xr3:uid="{00000000-0010-0000-0100-000012000000}" name="17" dataDxfId="684" totalsRowDxfId="683"/>
    <tableColumn id="19" xr3:uid="{00000000-0010-0000-0100-000013000000}" name="18" dataDxfId="682" totalsRowDxfId="681"/>
    <tableColumn id="20" xr3:uid="{00000000-0010-0000-0100-000014000000}" name="19" dataDxfId="680" totalsRowDxfId="679"/>
    <tableColumn id="21" xr3:uid="{00000000-0010-0000-0100-000015000000}" name="20" dataDxfId="678" totalsRowDxfId="677"/>
    <tableColumn id="22" xr3:uid="{00000000-0010-0000-0100-000016000000}" name="21" dataDxfId="676" totalsRowDxfId="675"/>
    <tableColumn id="23" xr3:uid="{00000000-0010-0000-0100-000017000000}" name="22" dataDxfId="674" totalsRowDxfId="673"/>
    <tableColumn id="24" xr3:uid="{00000000-0010-0000-0100-000018000000}" name="23" dataDxfId="672" totalsRowDxfId="671"/>
    <tableColumn id="25" xr3:uid="{00000000-0010-0000-0100-000019000000}" name="24" dataDxfId="670" totalsRowDxfId="669"/>
    <tableColumn id="26" xr3:uid="{00000000-0010-0000-0100-00001A000000}" name="25" dataDxfId="668" totalsRowDxfId="667"/>
    <tableColumn id="27" xr3:uid="{00000000-0010-0000-0100-00001B000000}" name="26" dataDxfId="666" totalsRowDxfId="665"/>
    <tableColumn id="28" xr3:uid="{00000000-0010-0000-0100-00001C000000}" name="27" dataDxfId="664" totalsRowDxfId="663"/>
    <tableColumn id="29" xr3:uid="{00000000-0010-0000-0100-00001D000000}" name="28" dataDxfId="662" totalsRowDxfId="661"/>
    <tableColumn id="30" xr3:uid="{00000000-0010-0000-0100-00001E000000}" name="29" dataDxfId="660" totalsRowDxfId="659"/>
    <tableColumn id="31" xr3:uid="{00000000-0010-0000-0100-00001F000000}" name="30" dataDxfId="658" totalsRowDxfId="657"/>
    <tableColumn id="32" xr3:uid="{00000000-0010-0000-0100-000020000000}" name="31" dataDxfId="656" totalsRowDxfId="655"/>
    <tableColumn id="33" xr3:uid="{00000000-0010-0000-0100-000021000000}" name="Totaal aantal uren" dataDxfId="654" totalsRowDxfId="653" dataCellStyle="Totaal">
      <calculatedColumnFormula>SUM($C$18:$AH$18)</calculatedColumnFormula>
    </tableColumn>
  </tableColumns>
  <tableStyleInfo name="Werknemers Verzuimtabel" showFirstColumn="1" showLastColumn="1" showRowStripes="1" showColumnStripes="0"/>
  <extLst>
    <ext xmlns:x14="http://schemas.microsoft.com/office/spreadsheetml/2009/9/main" uri="{504A1905-F514-4f6f-8877-14C23A59335A}">
      <x14:table altTextSummary="Geef de namen van werknemers en verzuimdatums op. Registreer het verzuimtype volgens de sleutel in rij 12: V=vakantie, S=ziek, P=persoonlijk en twee tijdelijke aanduidingen voor aangepaste vermeldingen"/>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Maart" displayName="Maart" ref="B6:AH20" totalsRowCount="1" headerRowDxfId="597" dataDxfId="596" totalsRowDxfId="595">
  <tableColumns count="33">
    <tableColumn id="1" xr3:uid="{00000000-0010-0000-0200-000001000000}" name="Naam van werknemer" totalsRowLabel="Maart Totaal" dataDxfId="594" totalsRowDxfId="593" dataCellStyle="Werknemer">
      <calculatedColumnFormula>Werknemersnamen!B4</calculatedColumnFormula>
    </tableColumn>
    <tableColumn id="2" xr3:uid="{00000000-0010-0000-0200-000002000000}" name="1" totalsRowFunction="custom" dataDxfId="592" totalsRowDxfId="591">
      <totalsRowFormula>SUM($C$7:$C$19)</totalsRowFormula>
    </tableColumn>
    <tableColumn id="3" xr3:uid="{00000000-0010-0000-0200-000003000000}" name="2" totalsRowFunction="custom" dataDxfId="590" totalsRowDxfId="589">
      <totalsRowFormula>SUM($D$7:$D$19)</totalsRowFormula>
    </tableColumn>
    <tableColumn id="4" xr3:uid="{00000000-0010-0000-0200-000004000000}" name="3" totalsRowFunction="custom" dataDxfId="588" totalsRowDxfId="587">
      <totalsRowFormula>SUM($E$7:$E$19)</totalsRowFormula>
    </tableColumn>
    <tableColumn id="5" xr3:uid="{00000000-0010-0000-0200-000005000000}" name="4" totalsRowFunction="custom" dataDxfId="586" totalsRowDxfId="585">
      <totalsRowFormula>SUM($F$7:$F$19)</totalsRowFormula>
    </tableColumn>
    <tableColumn id="6" xr3:uid="{00000000-0010-0000-0200-000006000000}" name="5" totalsRowFunction="custom" dataDxfId="584" totalsRowDxfId="583">
      <totalsRowFormula>SUM($G$7:$G$19)</totalsRowFormula>
    </tableColumn>
    <tableColumn id="7" xr3:uid="{00000000-0010-0000-0200-000007000000}" name="6" totalsRowFunction="custom" dataDxfId="582" totalsRowDxfId="581">
      <totalsRowFormula>SUM($H$7:$H$19)</totalsRowFormula>
    </tableColumn>
    <tableColumn id="8" xr3:uid="{00000000-0010-0000-0200-000008000000}" name="7" totalsRowFunction="custom" dataDxfId="580" totalsRowDxfId="579">
      <totalsRowFormula>SUM($I$7:$I$19)</totalsRowFormula>
    </tableColumn>
    <tableColumn id="9" xr3:uid="{00000000-0010-0000-0200-000009000000}" name="8" totalsRowFunction="custom" dataDxfId="578" totalsRowDxfId="577">
      <totalsRowFormula>SUM($J$7:$J$19)</totalsRowFormula>
    </tableColumn>
    <tableColumn id="10" xr3:uid="{00000000-0010-0000-0200-00000A000000}" name="9" totalsRowFunction="custom" dataDxfId="576" totalsRowDxfId="575">
      <totalsRowFormula>SUM($K$7:$K$19)</totalsRowFormula>
    </tableColumn>
    <tableColumn id="11" xr3:uid="{00000000-0010-0000-0200-00000B000000}" name="10" totalsRowFunction="custom" dataDxfId="574" totalsRowDxfId="573">
      <totalsRowFormula>SUM($L$7:$L$19)</totalsRowFormula>
    </tableColumn>
    <tableColumn id="12" xr3:uid="{00000000-0010-0000-0200-00000C000000}" name="11" totalsRowFunction="custom" dataDxfId="572" totalsRowDxfId="571">
      <totalsRowFormula>SUM($M$7:$M$19)</totalsRowFormula>
    </tableColumn>
    <tableColumn id="13" xr3:uid="{00000000-0010-0000-0200-00000D000000}" name="12" totalsRowFunction="custom" dataDxfId="570" totalsRowDxfId="569">
      <totalsRowFormula>SUM($N$7:$N$19)</totalsRowFormula>
    </tableColumn>
    <tableColumn id="14" xr3:uid="{00000000-0010-0000-0200-00000E000000}" name="13" totalsRowFunction="custom" dataDxfId="568" totalsRowDxfId="567">
      <totalsRowFormula>SUM($O$7:$O$19)</totalsRowFormula>
    </tableColumn>
    <tableColumn id="15" xr3:uid="{00000000-0010-0000-0200-00000F000000}" name="14" totalsRowFunction="custom" dataDxfId="566" totalsRowDxfId="565">
      <totalsRowFormula>SUM($P$7:$P$19)</totalsRowFormula>
    </tableColumn>
    <tableColumn id="16" xr3:uid="{00000000-0010-0000-0200-000010000000}" name="15" totalsRowFunction="custom" dataDxfId="564" totalsRowDxfId="563">
      <totalsRowFormula>SUM($Q$7:$Q$19)</totalsRowFormula>
    </tableColumn>
    <tableColumn id="17" xr3:uid="{00000000-0010-0000-0200-000011000000}" name="16" totalsRowFunction="custom" dataDxfId="562" totalsRowDxfId="561">
      <totalsRowFormula>SUM($R$7:$R$19)</totalsRowFormula>
    </tableColumn>
    <tableColumn id="18" xr3:uid="{00000000-0010-0000-0200-000012000000}" name="17" totalsRowFunction="custom" dataDxfId="560" totalsRowDxfId="559">
      <totalsRowFormula>SUM($S$7:$S$19)</totalsRowFormula>
    </tableColumn>
    <tableColumn id="19" xr3:uid="{00000000-0010-0000-0200-000013000000}" name="18" totalsRowFunction="custom" dataDxfId="558" totalsRowDxfId="557">
      <totalsRowFormula>SUM($T$7:$T$19)</totalsRowFormula>
    </tableColumn>
    <tableColumn id="20" xr3:uid="{00000000-0010-0000-0200-000014000000}" name="19" totalsRowFunction="custom" dataDxfId="556" totalsRowDxfId="555">
      <totalsRowFormula>SUM($U$7:$U$19)</totalsRowFormula>
    </tableColumn>
    <tableColumn id="21" xr3:uid="{00000000-0010-0000-0200-000015000000}" name="20" totalsRowFunction="custom" dataDxfId="554" totalsRowDxfId="553">
      <totalsRowFormula>SUM($V$7:$V$19)</totalsRowFormula>
    </tableColumn>
    <tableColumn id="22" xr3:uid="{00000000-0010-0000-0200-000016000000}" name="21" totalsRowFunction="custom" dataDxfId="552" totalsRowDxfId="551">
      <totalsRowFormula>SUM($W$7:$W$19)</totalsRowFormula>
    </tableColumn>
    <tableColumn id="23" xr3:uid="{00000000-0010-0000-0200-000017000000}" name="22" totalsRowFunction="custom" dataDxfId="550" totalsRowDxfId="549">
      <totalsRowFormula>SUM($X$7:$X$19)</totalsRowFormula>
    </tableColumn>
    <tableColumn id="24" xr3:uid="{00000000-0010-0000-0200-000018000000}" name="23" totalsRowFunction="custom" dataDxfId="548" totalsRowDxfId="547">
      <totalsRowFormula>SUM($Y$7:$Y$19)</totalsRowFormula>
    </tableColumn>
    <tableColumn id="25" xr3:uid="{00000000-0010-0000-0200-000019000000}" name="24" totalsRowFunction="custom" dataDxfId="546" totalsRowDxfId="545">
      <totalsRowFormula>SUM($Z$7:$Z$19)</totalsRowFormula>
    </tableColumn>
    <tableColumn id="26" xr3:uid="{00000000-0010-0000-0200-00001A000000}" name="25" totalsRowFunction="custom" dataDxfId="544" totalsRowDxfId="543">
      <totalsRowFormula>SUM($AA$7:$AA$19)</totalsRowFormula>
    </tableColumn>
    <tableColumn id="27" xr3:uid="{00000000-0010-0000-0200-00001B000000}" name="26" totalsRowFunction="custom" dataDxfId="542" totalsRowDxfId="541">
      <totalsRowFormula>SUM($AB$7:$AB$19)</totalsRowFormula>
    </tableColumn>
    <tableColumn id="28" xr3:uid="{00000000-0010-0000-0200-00001C000000}" name="27" totalsRowFunction="custom" dataDxfId="540" totalsRowDxfId="539">
      <totalsRowFormula>SUM($AC$7:$AC$19)</totalsRowFormula>
    </tableColumn>
    <tableColumn id="29" xr3:uid="{00000000-0010-0000-0200-00001D000000}" name="28" totalsRowFunction="custom" dataDxfId="538" totalsRowDxfId="537">
      <totalsRowFormula>SUM($AD$7:$AD$19)</totalsRowFormula>
    </tableColumn>
    <tableColumn id="30" xr3:uid="{00000000-0010-0000-0200-00001E000000}" name="29" totalsRowFunction="custom" dataDxfId="536" totalsRowDxfId="535">
      <totalsRowFormula>SUM($AE$7:$AE$19)</totalsRowFormula>
    </tableColumn>
    <tableColumn id="31" xr3:uid="{00000000-0010-0000-0200-00001F000000}" name="30" totalsRowFunction="custom" dataDxfId="534" totalsRowDxfId="533">
      <totalsRowFormula>SUM($AF$7:$AF$19)</totalsRowFormula>
    </tableColumn>
    <tableColumn id="32" xr3:uid="{00000000-0010-0000-0200-000020000000}" name="31" totalsRowFunction="custom" dataDxfId="532" totalsRowDxfId="531">
      <totalsRowFormula>SUM($AG$7:$AG$19)</totalsRowFormula>
    </tableColumn>
    <tableColumn id="33" xr3:uid="{00000000-0010-0000-0200-000021000000}" name="Totaal aantal uren" totalsRowFunction="custom" dataDxfId="530" totalsRowDxfId="529" dataCellStyle="Totaal">
      <calculatedColumnFormula>SUM($C$19:$AH$19)</calculatedColumnFormula>
      <totalsRowFormula>SUM($AH$7:$AH$19)</totalsRowFormula>
    </tableColumn>
  </tableColumns>
  <tableStyleInfo name="Werknemers Verzuimtabel" showFirstColumn="1" showLastColumn="1" showRowStripes="1" showColumnStripes="0"/>
  <extLst>
    <ext xmlns:x14="http://schemas.microsoft.com/office/spreadsheetml/2009/9/main" uri="{504A1905-F514-4f6f-8877-14C23A59335A}">
      <x14:table altTextSummary="Geef de namen van werknemers en verzuimdatums op. Registreer het verzuimtype volgens de sleutel in rij 12: V=vakantie, S=ziek, P=persoonlijk en twee tijdelijke aanduidingen voor aangepaste vermeldingen"/>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3000000}" name="April" displayName="April" ref="B6:AH19" totalsRowCount="1" headerRowDxfId="523" dataDxfId="522" totalsRowDxfId="521">
  <tableColumns count="33">
    <tableColumn id="1" xr3:uid="{00000000-0010-0000-0300-000001000000}" name="Naam van werknemer" dataDxfId="520" totalsRowDxfId="519" dataCellStyle="Werknemer">
      <calculatedColumnFormula>Werknemersnamen!B4</calculatedColumnFormula>
    </tableColumn>
    <tableColumn id="2" xr3:uid="{00000000-0010-0000-0300-000002000000}" name="1" dataDxfId="518" totalsRowDxfId="517"/>
    <tableColumn id="3" xr3:uid="{00000000-0010-0000-0300-000003000000}" name="2" dataDxfId="516" totalsRowDxfId="515"/>
    <tableColumn id="4" xr3:uid="{00000000-0010-0000-0300-000004000000}" name="3" dataDxfId="514" totalsRowDxfId="513"/>
    <tableColumn id="5" xr3:uid="{00000000-0010-0000-0300-000005000000}" name="4" dataDxfId="512" totalsRowDxfId="511"/>
    <tableColumn id="6" xr3:uid="{00000000-0010-0000-0300-000006000000}" name="5" dataDxfId="510" totalsRowDxfId="509"/>
    <tableColumn id="7" xr3:uid="{00000000-0010-0000-0300-000007000000}" name="6" dataDxfId="508" totalsRowDxfId="507"/>
    <tableColumn id="8" xr3:uid="{00000000-0010-0000-0300-000008000000}" name="7" dataDxfId="506" totalsRowDxfId="505"/>
    <tableColumn id="9" xr3:uid="{00000000-0010-0000-0300-000009000000}" name="8" dataDxfId="504" totalsRowDxfId="503"/>
    <tableColumn id="10" xr3:uid="{00000000-0010-0000-0300-00000A000000}" name="9" dataDxfId="502" totalsRowDxfId="501"/>
    <tableColumn id="11" xr3:uid="{00000000-0010-0000-0300-00000B000000}" name="10" dataDxfId="500" totalsRowDxfId="499"/>
    <tableColumn id="12" xr3:uid="{00000000-0010-0000-0300-00000C000000}" name="11" dataDxfId="498" totalsRowDxfId="497"/>
    <tableColumn id="13" xr3:uid="{00000000-0010-0000-0300-00000D000000}" name="12" dataDxfId="496" totalsRowDxfId="495"/>
    <tableColumn id="14" xr3:uid="{00000000-0010-0000-0300-00000E000000}" name="13" dataDxfId="494" totalsRowDxfId="493"/>
    <tableColumn id="15" xr3:uid="{00000000-0010-0000-0300-00000F000000}" name="14" dataDxfId="492" totalsRowDxfId="491"/>
    <tableColumn id="16" xr3:uid="{00000000-0010-0000-0300-000010000000}" name="15" dataDxfId="490" totalsRowDxfId="489"/>
    <tableColumn id="17" xr3:uid="{00000000-0010-0000-0300-000011000000}" name="16" dataDxfId="488" totalsRowDxfId="487"/>
    <tableColumn id="18" xr3:uid="{00000000-0010-0000-0300-000012000000}" name="17" dataDxfId="486" totalsRowDxfId="485"/>
    <tableColumn id="19" xr3:uid="{00000000-0010-0000-0300-000013000000}" name="18" dataDxfId="484" totalsRowDxfId="483"/>
    <tableColumn id="20" xr3:uid="{00000000-0010-0000-0300-000014000000}" name="19" dataDxfId="482" totalsRowDxfId="481"/>
    <tableColumn id="21" xr3:uid="{00000000-0010-0000-0300-000015000000}" name="20" dataDxfId="480" totalsRowDxfId="479"/>
    <tableColumn id="22" xr3:uid="{00000000-0010-0000-0300-000016000000}" name="21" dataDxfId="478" totalsRowDxfId="477"/>
    <tableColumn id="23" xr3:uid="{00000000-0010-0000-0300-000017000000}" name="22" dataDxfId="476" totalsRowDxfId="475"/>
    <tableColumn id="24" xr3:uid="{00000000-0010-0000-0300-000018000000}" name="23" dataDxfId="474" totalsRowDxfId="473"/>
    <tableColumn id="25" xr3:uid="{00000000-0010-0000-0300-000019000000}" name="24" dataDxfId="472" totalsRowDxfId="471"/>
    <tableColumn id="26" xr3:uid="{00000000-0010-0000-0300-00001A000000}" name="25" dataDxfId="470" totalsRowDxfId="469"/>
    <tableColumn id="27" xr3:uid="{00000000-0010-0000-0300-00001B000000}" name="26" dataDxfId="468" totalsRowDxfId="467"/>
    <tableColumn id="28" xr3:uid="{00000000-0010-0000-0300-00001C000000}" name="27" dataDxfId="466" totalsRowDxfId="465"/>
    <tableColumn id="29" xr3:uid="{00000000-0010-0000-0300-00001D000000}" name="28" dataDxfId="464" totalsRowDxfId="463"/>
    <tableColumn id="30" xr3:uid="{00000000-0010-0000-0300-00001E000000}" name="29" dataDxfId="462" totalsRowDxfId="461"/>
    <tableColumn id="31" xr3:uid="{00000000-0010-0000-0300-00001F000000}" name="30" dataDxfId="460" totalsRowDxfId="459"/>
    <tableColumn id="32" xr3:uid="{00000000-0010-0000-0300-000020000000}" name="31" dataDxfId="458" totalsRowDxfId="457"/>
    <tableColumn id="33" xr3:uid="{00000000-0010-0000-0300-000021000000}" name="Totaal aantal uren" dataDxfId="456" totalsRowDxfId="455" dataCellStyle="Totaal">
      <calculatedColumnFormula>SUM($C$18:$AH$18)</calculatedColumnFormula>
    </tableColumn>
  </tableColumns>
  <tableStyleInfo name="Werknemers Verzuimtabel" showFirstColumn="1" showLastColumn="1" showRowStripes="1" showColumnStripes="0"/>
  <extLst>
    <ext xmlns:x14="http://schemas.microsoft.com/office/spreadsheetml/2009/9/main" uri="{504A1905-F514-4f6f-8877-14C23A59335A}">
      <x14:table altTextSummary="Geef de namen van werknemers en verzuimdatums op. Registreer het verzuimtype volgens de sleutel in rij 12: V=vakantie, S=ziek, P=persoonlijk en twee tijdelijke aanduidingen voor aangepaste vermeldingen"/>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6000000}" name="Juli" displayName="Juli" ref="B6:AH19" totalsRowCount="1" headerRowDxfId="439" dataDxfId="438" totalsRowDxfId="437">
  <tableColumns count="33">
    <tableColumn id="1" xr3:uid="{00000000-0010-0000-0600-000001000000}" name="Naam van werknemer" dataDxfId="436" totalsRowDxfId="435" dataCellStyle="Werknemer">
      <calculatedColumnFormula>Werknemersnamen!B4</calculatedColumnFormula>
    </tableColumn>
    <tableColumn id="2" xr3:uid="{00000000-0010-0000-0600-000002000000}" name="1" dataDxfId="434" totalsRowDxfId="433"/>
    <tableColumn id="3" xr3:uid="{00000000-0010-0000-0600-000003000000}" name="2" dataDxfId="432" totalsRowDxfId="431"/>
    <tableColumn id="4" xr3:uid="{00000000-0010-0000-0600-000004000000}" name="3" dataDxfId="430" totalsRowDxfId="429"/>
    <tableColumn id="5" xr3:uid="{00000000-0010-0000-0600-000005000000}" name="4" dataDxfId="428" totalsRowDxfId="427"/>
    <tableColumn id="6" xr3:uid="{00000000-0010-0000-0600-000006000000}" name="5" dataDxfId="426" totalsRowDxfId="425"/>
    <tableColumn id="7" xr3:uid="{00000000-0010-0000-0600-000007000000}" name="6" dataDxfId="424" totalsRowDxfId="423"/>
    <tableColumn id="8" xr3:uid="{00000000-0010-0000-0600-000008000000}" name="7" dataDxfId="422" totalsRowDxfId="421"/>
    <tableColumn id="9" xr3:uid="{00000000-0010-0000-0600-000009000000}" name="8" dataDxfId="420" totalsRowDxfId="419"/>
    <tableColumn id="10" xr3:uid="{00000000-0010-0000-0600-00000A000000}" name="9" dataDxfId="418" totalsRowDxfId="417"/>
    <tableColumn id="11" xr3:uid="{00000000-0010-0000-0600-00000B000000}" name="10" dataDxfId="416" totalsRowDxfId="415"/>
    <tableColumn id="12" xr3:uid="{00000000-0010-0000-0600-00000C000000}" name="11" dataDxfId="414" totalsRowDxfId="413"/>
    <tableColumn id="13" xr3:uid="{00000000-0010-0000-0600-00000D000000}" name="12" dataDxfId="412" totalsRowDxfId="411"/>
    <tableColumn id="14" xr3:uid="{00000000-0010-0000-0600-00000E000000}" name="13" dataDxfId="410" totalsRowDxfId="409"/>
    <tableColumn id="15" xr3:uid="{00000000-0010-0000-0600-00000F000000}" name="14" dataDxfId="408" totalsRowDxfId="407"/>
    <tableColumn id="16" xr3:uid="{00000000-0010-0000-0600-000010000000}" name="15" dataDxfId="406" totalsRowDxfId="405"/>
    <tableColumn id="17" xr3:uid="{00000000-0010-0000-0600-000011000000}" name="16" dataDxfId="404" totalsRowDxfId="403"/>
    <tableColumn id="18" xr3:uid="{00000000-0010-0000-0600-000012000000}" name="17" dataDxfId="402" totalsRowDxfId="401"/>
    <tableColumn id="19" xr3:uid="{00000000-0010-0000-0600-000013000000}" name="18" dataDxfId="400" totalsRowDxfId="399"/>
    <tableColumn id="20" xr3:uid="{00000000-0010-0000-0600-000014000000}" name="19" dataDxfId="398" totalsRowDxfId="397"/>
    <tableColumn id="21" xr3:uid="{00000000-0010-0000-0600-000015000000}" name="20" dataDxfId="396" totalsRowDxfId="395"/>
    <tableColumn id="22" xr3:uid="{00000000-0010-0000-0600-000016000000}" name="21" dataDxfId="394" totalsRowDxfId="393"/>
    <tableColumn id="23" xr3:uid="{00000000-0010-0000-0600-000017000000}" name="22" dataDxfId="392" totalsRowDxfId="391"/>
    <tableColumn id="24" xr3:uid="{00000000-0010-0000-0600-000018000000}" name="23" dataDxfId="390" totalsRowDxfId="389"/>
    <tableColumn id="25" xr3:uid="{00000000-0010-0000-0600-000019000000}" name="24" dataDxfId="388" totalsRowDxfId="387"/>
    <tableColumn id="26" xr3:uid="{00000000-0010-0000-0600-00001A000000}" name="25" dataDxfId="386" totalsRowDxfId="385"/>
    <tableColumn id="27" xr3:uid="{00000000-0010-0000-0600-00001B000000}" name="26" dataDxfId="384" totalsRowDxfId="383"/>
    <tableColumn id="28" xr3:uid="{00000000-0010-0000-0600-00001C000000}" name="27" dataDxfId="382" totalsRowDxfId="381"/>
    <tableColumn id="29" xr3:uid="{00000000-0010-0000-0600-00001D000000}" name="28" dataDxfId="380" totalsRowDxfId="379"/>
    <tableColumn id="30" xr3:uid="{00000000-0010-0000-0600-00001E000000}" name="29" dataDxfId="378" totalsRowDxfId="377"/>
    <tableColumn id="31" xr3:uid="{00000000-0010-0000-0600-00001F000000}" name="30" dataDxfId="376" totalsRowDxfId="375"/>
    <tableColumn id="32" xr3:uid="{00000000-0010-0000-0600-000020000000}" name="31" dataDxfId="374" totalsRowDxfId="373"/>
    <tableColumn id="33" xr3:uid="{00000000-0010-0000-0600-000021000000}" name="Totaal aantal uren" dataDxfId="372" totalsRowDxfId="371" dataCellStyle="Totaal">
      <calculatedColumnFormula>SUM($C$18:$AH$18)</calculatedColumnFormula>
    </tableColumn>
  </tableColumns>
  <tableStyleInfo name="Werknemers Verzuimtabel" showFirstColumn="1" showLastColumn="1" showRowStripes="1" showColumnStripes="0"/>
  <extLst>
    <ext xmlns:x14="http://schemas.microsoft.com/office/spreadsheetml/2009/9/main" uri="{504A1905-F514-4f6f-8877-14C23A59335A}">
      <x14:table altTextSummary="Geef de namen van werknemers en verzuimdatums op. Registreer het verzuimtype volgens de sleutel in rij 12: V=vakantie, S=ziek, P=persoonlijk en twee tijdelijke aanduidingen voor aangepaste vermeldingen"/>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7000000}" name="Augustus" displayName="Augustus" ref="B6:AH19" totalsRowCount="1" headerRowDxfId="365" dataDxfId="364" totalsRowDxfId="363">
  <tableColumns count="33">
    <tableColumn id="1" xr3:uid="{00000000-0010-0000-0700-000001000000}" name="Naam van werknemer" dataDxfId="362" totalsRowDxfId="361" dataCellStyle="Werknemer">
      <calculatedColumnFormula>Werknemersnamen!B4</calculatedColumnFormula>
    </tableColumn>
    <tableColumn id="2" xr3:uid="{00000000-0010-0000-0700-000002000000}" name="1" dataDxfId="360" totalsRowDxfId="359"/>
    <tableColumn id="3" xr3:uid="{00000000-0010-0000-0700-000003000000}" name="2" dataDxfId="358" totalsRowDxfId="357"/>
    <tableColumn id="4" xr3:uid="{00000000-0010-0000-0700-000004000000}" name="3" dataDxfId="356" totalsRowDxfId="355"/>
    <tableColumn id="5" xr3:uid="{00000000-0010-0000-0700-000005000000}" name="4" dataDxfId="354" totalsRowDxfId="353"/>
    <tableColumn id="6" xr3:uid="{00000000-0010-0000-0700-000006000000}" name="5" dataDxfId="352" totalsRowDxfId="351"/>
    <tableColumn id="7" xr3:uid="{00000000-0010-0000-0700-000007000000}" name="6" dataDxfId="350" totalsRowDxfId="349"/>
    <tableColumn id="8" xr3:uid="{00000000-0010-0000-0700-000008000000}" name="7" dataDxfId="348" totalsRowDxfId="347"/>
    <tableColumn id="9" xr3:uid="{00000000-0010-0000-0700-000009000000}" name="8" dataDxfId="346" totalsRowDxfId="345"/>
    <tableColumn id="10" xr3:uid="{00000000-0010-0000-0700-00000A000000}" name="9" dataDxfId="344" totalsRowDxfId="343"/>
    <tableColumn id="11" xr3:uid="{00000000-0010-0000-0700-00000B000000}" name="10" dataDxfId="342" totalsRowDxfId="341"/>
    <tableColumn id="12" xr3:uid="{00000000-0010-0000-0700-00000C000000}" name="11" dataDxfId="340" totalsRowDxfId="339"/>
    <tableColumn id="13" xr3:uid="{00000000-0010-0000-0700-00000D000000}" name="12" dataDxfId="338" totalsRowDxfId="337"/>
    <tableColumn id="14" xr3:uid="{00000000-0010-0000-0700-00000E000000}" name="13" dataDxfId="336" totalsRowDxfId="335"/>
    <tableColumn id="15" xr3:uid="{00000000-0010-0000-0700-00000F000000}" name="14" dataDxfId="334" totalsRowDxfId="333"/>
    <tableColumn id="16" xr3:uid="{00000000-0010-0000-0700-000010000000}" name="15" dataDxfId="332" totalsRowDxfId="331"/>
    <tableColumn id="17" xr3:uid="{00000000-0010-0000-0700-000011000000}" name="16" dataDxfId="330" totalsRowDxfId="329"/>
    <tableColumn id="18" xr3:uid="{00000000-0010-0000-0700-000012000000}" name="17" dataDxfId="328" totalsRowDxfId="327"/>
    <tableColumn id="19" xr3:uid="{00000000-0010-0000-0700-000013000000}" name="18" dataDxfId="326" totalsRowDxfId="325"/>
    <tableColumn id="20" xr3:uid="{00000000-0010-0000-0700-000014000000}" name="19" dataDxfId="324" totalsRowDxfId="323"/>
    <tableColumn id="21" xr3:uid="{00000000-0010-0000-0700-000015000000}" name="20" dataDxfId="322" totalsRowDxfId="321"/>
    <tableColumn id="22" xr3:uid="{00000000-0010-0000-0700-000016000000}" name="21" dataDxfId="320" totalsRowDxfId="319"/>
    <tableColumn id="23" xr3:uid="{00000000-0010-0000-0700-000017000000}" name="22" dataDxfId="318" totalsRowDxfId="317"/>
    <tableColumn id="24" xr3:uid="{00000000-0010-0000-0700-000018000000}" name="23" dataDxfId="316" totalsRowDxfId="315"/>
    <tableColumn id="25" xr3:uid="{00000000-0010-0000-0700-000019000000}" name="24" dataDxfId="314" totalsRowDxfId="313"/>
    <tableColumn id="26" xr3:uid="{00000000-0010-0000-0700-00001A000000}" name="25" dataDxfId="312" totalsRowDxfId="311"/>
    <tableColumn id="27" xr3:uid="{00000000-0010-0000-0700-00001B000000}" name="26" dataDxfId="310" totalsRowDxfId="309"/>
    <tableColumn id="28" xr3:uid="{00000000-0010-0000-0700-00001C000000}" name="27" dataDxfId="308" totalsRowDxfId="307"/>
    <tableColumn id="29" xr3:uid="{00000000-0010-0000-0700-00001D000000}" name="28" dataDxfId="306" totalsRowDxfId="305"/>
    <tableColumn id="30" xr3:uid="{00000000-0010-0000-0700-00001E000000}" name="29" dataDxfId="304" totalsRowDxfId="303"/>
    <tableColumn id="31" xr3:uid="{00000000-0010-0000-0700-00001F000000}" name="30" dataDxfId="302" totalsRowDxfId="301"/>
    <tableColumn id="32" xr3:uid="{00000000-0010-0000-0700-000020000000}" name="31" dataDxfId="300" totalsRowDxfId="299"/>
    <tableColumn id="33" xr3:uid="{00000000-0010-0000-0700-000021000000}" name="Totaal aantal uren" dataDxfId="298" totalsRowDxfId="297" dataCellStyle="Totaal">
      <calculatedColumnFormula>SUM($C$18:$AH$18)</calculatedColumnFormula>
    </tableColumn>
  </tableColumns>
  <tableStyleInfo name="Werknemers Verzuimtabel" showFirstColumn="1" showLastColumn="1" showRowStripes="1" showColumnStripes="0"/>
  <extLst>
    <ext xmlns:x14="http://schemas.microsoft.com/office/spreadsheetml/2009/9/main" uri="{504A1905-F514-4f6f-8877-14C23A59335A}">
      <x14:table altTextSummary="Geef de namen van werknemers en verzuimdatums op. Registreer het verzuimtype volgens de sleutel in rij 12: V=vakantie, S=ziek, P=persoonlijk en twee tijdelijke aanduidingen voor aangepaste vermeldingen"/>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8000000}" name="September" displayName="September" ref="B6:AH19" totalsRowCount="1" headerRowDxfId="291" dataDxfId="290" totalsRowDxfId="289">
  <tableColumns count="33">
    <tableColumn id="1" xr3:uid="{00000000-0010-0000-0800-000001000000}" name="Naam van werknemer" dataDxfId="288" totalsRowDxfId="287" dataCellStyle="Werknemer">
      <calculatedColumnFormula>Werknemersnamen!B4</calculatedColumnFormula>
    </tableColumn>
    <tableColumn id="2" xr3:uid="{00000000-0010-0000-0800-000002000000}" name="1" dataDxfId="286" totalsRowDxfId="285"/>
    <tableColumn id="3" xr3:uid="{00000000-0010-0000-0800-000003000000}" name="2" dataDxfId="284" totalsRowDxfId="283"/>
    <tableColumn id="4" xr3:uid="{00000000-0010-0000-0800-000004000000}" name="3" dataDxfId="282" totalsRowDxfId="281"/>
    <tableColumn id="5" xr3:uid="{00000000-0010-0000-0800-000005000000}" name="4" dataDxfId="280" totalsRowDxfId="279"/>
    <tableColumn id="6" xr3:uid="{00000000-0010-0000-0800-000006000000}" name="5" dataDxfId="278" totalsRowDxfId="277"/>
    <tableColumn id="7" xr3:uid="{00000000-0010-0000-0800-000007000000}" name="6" dataDxfId="276" totalsRowDxfId="275"/>
    <tableColumn id="8" xr3:uid="{00000000-0010-0000-0800-000008000000}" name="7" dataDxfId="274" totalsRowDxfId="273"/>
    <tableColumn id="9" xr3:uid="{00000000-0010-0000-0800-000009000000}" name="8" dataDxfId="272" totalsRowDxfId="271"/>
    <tableColumn id="10" xr3:uid="{00000000-0010-0000-0800-00000A000000}" name="9" dataDxfId="270" totalsRowDxfId="269"/>
    <tableColumn id="11" xr3:uid="{00000000-0010-0000-0800-00000B000000}" name="10" dataDxfId="268" totalsRowDxfId="267"/>
    <tableColumn id="12" xr3:uid="{00000000-0010-0000-0800-00000C000000}" name="11" dataDxfId="266" totalsRowDxfId="265"/>
    <tableColumn id="13" xr3:uid="{00000000-0010-0000-0800-00000D000000}" name="12" dataDxfId="264" totalsRowDxfId="263"/>
    <tableColumn id="14" xr3:uid="{00000000-0010-0000-0800-00000E000000}" name="13" dataDxfId="262" totalsRowDxfId="261"/>
    <tableColumn id="15" xr3:uid="{00000000-0010-0000-0800-00000F000000}" name="14" dataDxfId="260" totalsRowDxfId="259"/>
    <tableColumn id="16" xr3:uid="{00000000-0010-0000-0800-000010000000}" name="15" dataDxfId="258" totalsRowDxfId="257"/>
    <tableColumn id="17" xr3:uid="{00000000-0010-0000-0800-000011000000}" name="16" dataDxfId="256" totalsRowDxfId="255"/>
    <tableColumn id="18" xr3:uid="{00000000-0010-0000-0800-000012000000}" name="17" dataDxfId="254" totalsRowDxfId="253"/>
    <tableColumn id="19" xr3:uid="{00000000-0010-0000-0800-000013000000}" name="18" dataDxfId="252" totalsRowDxfId="251"/>
    <tableColumn id="20" xr3:uid="{00000000-0010-0000-0800-000014000000}" name="19" dataDxfId="250" totalsRowDxfId="249"/>
    <tableColumn id="21" xr3:uid="{00000000-0010-0000-0800-000015000000}" name="20" dataDxfId="248" totalsRowDxfId="247"/>
    <tableColumn id="22" xr3:uid="{00000000-0010-0000-0800-000016000000}" name="21" dataDxfId="246" totalsRowDxfId="245"/>
    <tableColumn id="23" xr3:uid="{00000000-0010-0000-0800-000017000000}" name="22" dataDxfId="244" totalsRowDxfId="243"/>
    <tableColumn id="24" xr3:uid="{00000000-0010-0000-0800-000018000000}" name="23" dataDxfId="242" totalsRowDxfId="241"/>
    <tableColumn id="25" xr3:uid="{00000000-0010-0000-0800-000019000000}" name="24" dataDxfId="240" totalsRowDxfId="239"/>
    <tableColumn id="26" xr3:uid="{00000000-0010-0000-0800-00001A000000}" name="25" dataDxfId="238" totalsRowDxfId="237"/>
    <tableColumn id="27" xr3:uid="{00000000-0010-0000-0800-00001B000000}" name="26" dataDxfId="236" totalsRowDxfId="235"/>
    <tableColumn id="28" xr3:uid="{00000000-0010-0000-0800-00001C000000}" name="27" dataDxfId="234" totalsRowDxfId="233"/>
    <tableColumn id="29" xr3:uid="{00000000-0010-0000-0800-00001D000000}" name="28" dataDxfId="232" totalsRowDxfId="231"/>
    <tableColumn id="30" xr3:uid="{00000000-0010-0000-0800-00001E000000}" name="29" dataDxfId="230" totalsRowDxfId="229"/>
    <tableColumn id="31" xr3:uid="{00000000-0010-0000-0800-00001F000000}" name="30" dataDxfId="228" totalsRowDxfId="227"/>
    <tableColumn id="32" xr3:uid="{00000000-0010-0000-0800-000020000000}" name="31" dataDxfId="226" totalsRowDxfId="225"/>
    <tableColumn id="33" xr3:uid="{00000000-0010-0000-0800-000021000000}" name="Totaal aantal uren" dataDxfId="224" totalsRowDxfId="223" dataCellStyle="Totaal">
      <calculatedColumnFormula>SUM($C$18:$AH$18)</calculatedColumnFormula>
    </tableColumn>
  </tableColumns>
  <tableStyleInfo name="Werknemers Verzuimtabel" showFirstColumn="1" showLastColumn="1" showRowStripes="1" showColumnStripes="0"/>
  <extLst>
    <ext xmlns:x14="http://schemas.microsoft.com/office/spreadsheetml/2009/9/main" uri="{504A1905-F514-4f6f-8877-14C23A59335A}">
      <x14:table altTextSummary="Geef de namen van werknemers en verzuimdatums op. Registreer het verzuimtype volgens de sleutel in rij 12: V=vakantie, S=ziek, P=persoonlijk en twee tijdelijke aanduidingen voor aangepaste vermeldingen"/>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9000000}" name="Oktober" displayName="Oktober" ref="B6:AH19" totalsRowCount="1" headerRowDxfId="217" dataDxfId="216" totalsRowDxfId="215">
  <tableColumns count="33">
    <tableColumn id="1" xr3:uid="{00000000-0010-0000-0900-000001000000}" name="Naam van werknemer" dataDxfId="214" totalsRowDxfId="213" dataCellStyle="Werknemer">
      <calculatedColumnFormula>Werknemersnamen!B4</calculatedColumnFormula>
    </tableColumn>
    <tableColumn id="2" xr3:uid="{00000000-0010-0000-0900-000002000000}" name="1" dataDxfId="212" totalsRowDxfId="211"/>
    <tableColumn id="3" xr3:uid="{00000000-0010-0000-0900-000003000000}" name="2" dataDxfId="210" totalsRowDxfId="209"/>
    <tableColumn id="4" xr3:uid="{00000000-0010-0000-0900-000004000000}" name="3" dataDxfId="208" totalsRowDxfId="207"/>
    <tableColumn id="5" xr3:uid="{00000000-0010-0000-0900-000005000000}" name="4" dataDxfId="206" totalsRowDxfId="205"/>
    <tableColumn id="6" xr3:uid="{00000000-0010-0000-0900-000006000000}" name="5" dataDxfId="204" totalsRowDxfId="203"/>
    <tableColumn id="7" xr3:uid="{00000000-0010-0000-0900-000007000000}" name="6" dataDxfId="202" totalsRowDxfId="201"/>
    <tableColumn id="8" xr3:uid="{00000000-0010-0000-0900-000008000000}" name="7" dataDxfId="200" totalsRowDxfId="199"/>
    <tableColumn id="9" xr3:uid="{00000000-0010-0000-0900-000009000000}" name="8" dataDxfId="198" totalsRowDxfId="197"/>
    <tableColumn id="10" xr3:uid="{00000000-0010-0000-0900-00000A000000}" name="9" dataDxfId="196" totalsRowDxfId="195"/>
    <tableColumn id="11" xr3:uid="{00000000-0010-0000-0900-00000B000000}" name="10" dataDxfId="194" totalsRowDxfId="193"/>
    <tableColumn id="12" xr3:uid="{00000000-0010-0000-0900-00000C000000}" name="11" dataDxfId="192" totalsRowDxfId="191"/>
    <tableColumn id="13" xr3:uid="{00000000-0010-0000-0900-00000D000000}" name="12" dataDxfId="190" totalsRowDxfId="189"/>
    <tableColumn id="14" xr3:uid="{00000000-0010-0000-0900-00000E000000}" name="13" dataDxfId="188" totalsRowDxfId="187"/>
    <tableColumn id="15" xr3:uid="{00000000-0010-0000-0900-00000F000000}" name="14" dataDxfId="186" totalsRowDxfId="185"/>
    <tableColumn id="16" xr3:uid="{00000000-0010-0000-0900-000010000000}" name="15" dataDxfId="184" totalsRowDxfId="183"/>
    <tableColumn id="17" xr3:uid="{00000000-0010-0000-0900-000011000000}" name="16" dataDxfId="182" totalsRowDxfId="181"/>
    <tableColumn id="18" xr3:uid="{00000000-0010-0000-0900-000012000000}" name="17" dataDxfId="180" totalsRowDxfId="179"/>
    <tableColumn id="19" xr3:uid="{00000000-0010-0000-0900-000013000000}" name="18" dataDxfId="178" totalsRowDxfId="177"/>
    <tableColumn id="20" xr3:uid="{00000000-0010-0000-0900-000014000000}" name="19" dataDxfId="176" totalsRowDxfId="175"/>
    <tableColumn id="21" xr3:uid="{00000000-0010-0000-0900-000015000000}" name="20" dataDxfId="174" totalsRowDxfId="173"/>
    <tableColumn id="22" xr3:uid="{00000000-0010-0000-0900-000016000000}" name="21" dataDxfId="172" totalsRowDxfId="171"/>
    <tableColumn id="23" xr3:uid="{00000000-0010-0000-0900-000017000000}" name="22" dataDxfId="170" totalsRowDxfId="169"/>
    <tableColumn id="24" xr3:uid="{00000000-0010-0000-0900-000018000000}" name="23" dataDxfId="168" totalsRowDxfId="167"/>
    <tableColumn id="25" xr3:uid="{00000000-0010-0000-0900-000019000000}" name="24" dataDxfId="166" totalsRowDxfId="165"/>
    <tableColumn id="26" xr3:uid="{00000000-0010-0000-0900-00001A000000}" name="25" dataDxfId="164" totalsRowDxfId="163"/>
    <tableColumn id="27" xr3:uid="{00000000-0010-0000-0900-00001B000000}" name="26" dataDxfId="162" totalsRowDxfId="161"/>
    <tableColumn id="28" xr3:uid="{00000000-0010-0000-0900-00001C000000}" name="27" dataDxfId="160" totalsRowDxfId="159"/>
    <tableColumn id="29" xr3:uid="{00000000-0010-0000-0900-00001D000000}" name="28" dataDxfId="158" totalsRowDxfId="157"/>
    <tableColumn id="30" xr3:uid="{00000000-0010-0000-0900-00001E000000}" name="29" dataDxfId="156" totalsRowDxfId="155"/>
    <tableColumn id="31" xr3:uid="{00000000-0010-0000-0900-00001F000000}" name="30" dataDxfId="154" totalsRowDxfId="153"/>
    <tableColumn id="32" xr3:uid="{00000000-0010-0000-0900-000020000000}" name="31" dataDxfId="152" totalsRowDxfId="151"/>
    <tableColumn id="33" xr3:uid="{00000000-0010-0000-0900-000021000000}" name="Totaal aantal uren" dataDxfId="150" totalsRowDxfId="149" dataCellStyle="Totaal">
      <calculatedColumnFormula>SUM($C$18:$AH$18)</calculatedColumnFormula>
    </tableColumn>
  </tableColumns>
  <tableStyleInfo name="Werknemers Verzuimtabel" showFirstColumn="1" showLastColumn="1" showRowStripes="1" showColumnStripes="0"/>
  <extLst>
    <ext xmlns:x14="http://schemas.microsoft.com/office/spreadsheetml/2009/9/main" uri="{504A1905-F514-4f6f-8877-14C23A59335A}">
      <x14:table altTextSummary="Geef de namen van werknemers en verzuimdatums op. Registreer het verzuimtype volgens de sleutel in rij 12: V=vakantie, S=ziek, P=persoonlijk en twee tijdelijke aanduidingen voor aangepaste vermeldingen"/>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A000000}" name="November" displayName="November" ref="B6:AH19" totalsRowCount="1" headerRowDxfId="143" dataDxfId="142" totalsRowDxfId="141">
  <tableColumns count="33">
    <tableColumn id="1" xr3:uid="{00000000-0010-0000-0A00-000001000000}" name="Naam van werknemer" dataDxfId="140" totalsRowDxfId="139" dataCellStyle="Werknemer">
      <calculatedColumnFormula>Werknemersnamen!B4</calculatedColumnFormula>
    </tableColumn>
    <tableColumn id="2" xr3:uid="{00000000-0010-0000-0A00-000002000000}" name="1" dataDxfId="138" totalsRowDxfId="137"/>
    <tableColumn id="3" xr3:uid="{00000000-0010-0000-0A00-000003000000}" name="2" dataDxfId="136" totalsRowDxfId="135"/>
    <tableColumn id="4" xr3:uid="{00000000-0010-0000-0A00-000004000000}" name="3" dataDxfId="134" totalsRowDxfId="133"/>
    <tableColumn id="5" xr3:uid="{00000000-0010-0000-0A00-000005000000}" name="4" dataDxfId="132" totalsRowDxfId="131"/>
    <tableColumn id="6" xr3:uid="{00000000-0010-0000-0A00-000006000000}" name="5" dataDxfId="130" totalsRowDxfId="129"/>
    <tableColumn id="7" xr3:uid="{00000000-0010-0000-0A00-000007000000}" name="6" dataDxfId="128" totalsRowDxfId="127"/>
    <tableColumn id="8" xr3:uid="{00000000-0010-0000-0A00-000008000000}" name="7" dataDxfId="126" totalsRowDxfId="125"/>
    <tableColumn id="9" xr3:uid="{00000000-0010-0000-0A00-000009000000}" name="8" dataDxfId="124" totalsRowDxfId="123"/>
    <tableColumn id="10" xr3:uid="{00000000-0010-0000-0A00-00000A000000}" name="9" dataDxfId="122" totalsRowDxfId="121"/>
    <tableColumn id="11" xr3:uid="{00000000-0010-0000-0A00-00000B000000}" name="10" dataDxfId="120" totalsRowDxfId="119"/>
    <tableColumn id="12" xr3:uid="{00000000-0010-0000-0A00-00000C000000}" name="11" dataDxfId="118" totalsRowDxfId="117"/>
    <tableColumn id="13" xr3:uid="{00000000-0010-0000-0A00-00000D000000}" name="12" dataDxfId="116" totalsRowDxfId="115"/>
    <tableColumn id="14" xr3:uid="{00000000-0010-0000-0A00-00000E000000}" name="13" dataDxfId="114" totalsRowDxfId="113"/>
    <tableColumn id="15" xr3:uid="{00000000-0010-0000-0A00-00000F000000}" name="14" dataDxfId="112" totalsRowDxfId="111"/>
    <tableColumn id="16" xr3:uid="{00000000-0010-0000-0A00-000010000000}" name="15" dataDxfId="110" totalsRowDxfId="109"/>
    <tableColumn id="17" xr3:uid="{00000000-0010-0000-0A00-000011000000}" name="16" dataDxfId="108" totalsRowDxfId="107"/>
    <tableColumn id="18" xr3:uid="{00000000-0010-0000-0A00-000012000000}" name="17" dataDxfId="106" totalsRowDxfId="105"/>
    <tableColumn id="19" xr3:uid="{00000000-0010-0000-0A00-000013000000}" name="18" dataDxfId="104" totalsRowDxfId="103"/>
    <tableColumn id="20" xr3:uid="{00000000-0010-0000-0A00-000014000000}" name="19" dataDxfId="102" totalsRowDxfId="101"/>
    <tableColumn id="21" xr3:uid="{00000000-0010-0000-0A00-000015000000}" name="20" dataDxfId="100" totalsRowDxfId="99"/>
    <tableColumn id="22" xr3:uid="{00000000-0010-0000-0A00-000016000000}" name="21" dataDxfId="98" totalsRowDxfId="97"/>
    <tableColumn id="23" xr3:uid="{00000000-0010-0000-0A00-000017000000}" name="22" dataDxfId="96" totalsRowDxfId="95"/>
    <tableColumn id="24" xr3:uid="{00000000-0010-0000-0A00-000018000000}" name="23" dataDxfId="94" totalsRowDxfId="93"/>
    <tableColumn id="25" xr3:uid="{00000000-0010-0000-0A00-000019000000}" name="24" dataDxfId="92" totalsRowDxfId="91"/>
    <tableColumn id="26" xr3:uid="{00000000-0010-0000-0A00-00001A000000}" name="25" dataDxfId="90" totalsRowDxfId="89"/>
    <tableColumn id="27" xr3:uid="{00000000-0010-0000-0A00-00001B000000}" name="26" dataDxfId="88" totalsRowDxfId="87"/>
    <tableColumn id="28" xr3:uid="{00000000-0010-0000-0A00-00001C000000}" name="27" dataDxfId="86" totalsRowDxfId="85"/>
    <tableColumn id="29" xr3:uid="{00000000-0010-0000-0A00-00001D000000}" name="28" dataDxfId="84" totalsRowDxfId="83"/>
    <tableColumn id="30" xr3:uid="{00000000-0010-0000-0A00-00001E000000}" name="29" dataDxfId="82" totalsRowDxfId="81"/>
    <tableColumn id="31" xr3:uid="{00000000-0010-0000-0A00-00001F000000}" name="30" dataDxfId="80" totalsRowDxfId="79"/>
    <tableColumn id="32" xr3:uid="{00000000-0010-0000-0A00-000020000000}" name="31" dataDxfId="78" totalsRowDxfId="77"/>
    <tableColumn id="33" xr3:uid="{00000000-0010-0000-0A00-000021000000}" name="Totaal aantal uren" dataDxfId="76" totalsRowDxfId="75" dataCellStyle="Totaal">
      <calculatedColumnFormula>SUM($C$18:$AH$18)</calculatedColumnFormula>
    </tableColumn>
  </tableColumns>
  <tableStyleInfo name="Werknemers Verzuimtabel" showFirstColumn="1" showLastColumn="1" showRowStripes="1" showColumnStripes="0"/>
  <extLst>
    <ext xmlns:x14="http://schemas.microsoft.com/office/spreadsheetml/2009/9/main" uri="{504A1905-F514-4f6f-8877-14C23A59335A}">
      <x14:table altTextSummary="Geef de namen van werknemers en verzuimdatums op. Registreer het verzuimtype volgens de sleutel in rij 12: V=vakantie, S=ziek, P=persoonlijk en twee tijdelijke aanduidingen voor aangepaste vermeldingen"/>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December" displayName="December" ref="B6:AH19" totalsRowCount="1" headerRowDxfId="69" dataDxfId="68" totalsRowDxfId="67">
  <tableColumns count="33">
    <tableColumn id="1" xr3:uid="{00000000-0010-0000-0B00-000001000000}" name="Naam van werknemer" dataDxfId="66" totalsRowDxfId="65" dataCellStyle="Werknemer">
      <calculatedColumnFormula>Werknemersnamen!B4</calculatedColumnFormula>
    </tableColumn>
    <tableColumn id="2" xr3:uid="{00000000-0010-0000-0B00-000002000000}" name="1" dataDxfId="64" totalsRowDxfId="63"/>
    <tableColumn id="3" xr3:uid="{00000000-0010-0000-0B00-000003000000}" name="2" dataDxfId="62" totalsRowDxfId="61"/>
    <tableColumn id="4" xr3:uid="{00000000-0010-0000-0B00-000004000000}" name="3" dataDxfId="60" totalsRowDxfId="59"/>
    <tableColumn id="5" xr3:uid="{00000000-0010-0000-0B00-000005000000}" name="4" dataDxfId="58" totalsRowDxfId="57"/>
    <tableColumn id="6" xr3:uid="{00000000-0010-0000-0B00-000006000000}" name="5" dataDxfId="56" totalsRowDxfId="55"/>
    <tableColumn id="7" xr3:uid="{00000000-0010-0000-0B00-000007000000}" name="6" dataDxfId="54" totalsRowDxfId="53"/>
    <tableColumn id="8" xr3:uid="{00000000-0010-0000-0B00-000008000000}" name="7" dataDxfId="52" totalsRowDxfId="51"/>
    <tableColumn id="9" xr3:uid="{00000000-0010-0000-0B00-000009000000}" name="8" dataDxfId="50" totalsRowDxfId="49"/>
    <tableColumn id="10" xr3:uid="{00000000-0010-0000-0B00-00000A000000}" name="9" dataDxfId="48" totalsRowDxfId="47"/>
    <tableColumn id="11" xr3:uid="{00000000-0010-0000-0B00-00000B000000}" name="10" dataDxfId="46" totalsRowDxfId="45"/>
    <tableColumn id="12" xr3:uid="{00000000-0010-0000-0B00-00000C000000}" name="11" dataDxfId="44" totalsRowDxfId="43"/>
    <tableColumn id="13" xr3:uid="{00000000-0010-0000-0B00-00000D000000}" name="12" dataDxfId="42" totalsRowDxfId="41"/>
    <tableColumn id="14" xr3:uid="{00000000-0010-0000-0B00-00000E000000}" name="13" dataDxfId="40" totalsRowDxfId="39"/>
    <tableColumn id="15" xr3:uid="{00000000-0010-0000-0B00-00000F000000}" name="14" dataDxfId="38" totalsRowDxfId="37"/>
    <tableColumn id="16" xr3:uid="{00000000-0010-0000-0B00-000010000000}" name="15" dataDxfId="36" totalsRowDxfId="35"/>
    <tableColumn id="17" xr3:uid="{00000000-0010-0000-0B00-000011000000}" name="16" dataDxfId="34" totalsRowDxfId="33"/>
    <tableColumn id="18" xr3:uid="{00000000-0010-0000-0B00-000012000000}" name="17" dataDxfId="32" totalsRowDxfId="31"/>
    <tableColumn id="19" xr3:uid="{00000000-0010-0000-0B00-000013000000}" name="18" dataDxfId="30" totalsRowDxfId="29"/>
    <tableColumn id="20" xr3:uid="{00000000-0010-0000-0B00-000014000000}" name="19" dataDxfId="28" totalsRowDxfId="27"/>
    <tableColumn id="21" xr3:uid="{00000000-0010-0000-0B00-000015000000}" name="20" dataDxfId="26" totalsRowDxfId="25"/>
    <tableColumn id="22" xr3:uid="{00000000-0010-0000-0B00-000016000000}" name="21" dataDxfId="24" totalsRowDxfId="23"/>
    <tableColumn id="23" xr3:uid="{00000000-0010-0000-0B00-000017000000}" name="22" dataDxfId="22" totalsRowDxfId="21"/>
    <tableColumn id="24" xr3:uid="{00000000-0010-0000-0B00-000018000000}" name="23" dataDxfId="20" totalsRowDxfId="19"/>
    <tableColumn id="25" xr3:uid="{00000000-0010-0000-0B00-000019000000}" name="24" dataDxfId="18" totalsRowDxfId="17"/>
    <tableColumn id="26" xr3:uid="{00000000-0010-0000-0B00-00001A000000}" name="25" dataDxfId="16" totalsRowDxfId="15"/>
    <tableColumn id="27" xr3:uid="{00000000-0010-0000-0B00-00001B000000}" name="26" dataDxfId="14" totalsRowDxfId="13"/>
    <tableColumn id="28" xr3:uid="{00000000-0010-0000-0B00-00001C000000}" name="27" dataDxfId="12" totalsRowDxfId="11"/>
    <tableColumn id="29" xr3:uid="{00000000-0010-0000-0B00-00001D000000}" name="28" dataDxfId="10" totalsRowDxfId="9"/>
    <tableColumn id="30" xr3:uid="{00000000-0010-0000-0B00-00001E000000}" name="29" dataDxfId="8" totalsRowDxfId="7"/>
    <tableColumn id="31" xr3:uid="{00000000-0010-0000-0B00-00001F000000}" name="30" dataDxfId="6" totalsRowDxfId="5"/>
    <tableColumn id="32" xr3:uid="{00000000-0010-0000-0B00-000020000000}" name="31" dataDxfId="4" totalsRowDxfId="3"/>
    <tableColumn id="33" xr3:uid="{00000000-0010-0000-0B00-000021000000}" name="Totaal aantal uren" dataDxfId="2" totalsRowDxfId="1" dataCellStyle="Totaal">
      <calculatedColumnFormula>SUM($C$18:$AH$18)</calculatedColumnFormula>
    </tableColumn>
  </tableColumns>
  <tableStyleInfo name="Werknemers Verzuimtabel" showFirstColumn="1" showLastColumn="1" showRowStripes="1" showColumnStripes="0"/>
  <extLst>
    <ext xmlns:x14="http://schemas.microsoft.com/office/spreadsheetml/2009/9/main" uri="{504A1905-F514-4f6f-8877-14C23A59335A}">
      <x14:table altTextSummary="Biedt een lijst met namen en kalenderdatums om de afwezigheid van werknemers en specifiek afwezigheidstype vast te leggen, zoals V=vakantie, Z=ziek, P=persoonlijk en twee tijdelijke aanduidingen voor aangepaste vermeldingen"/>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WerknemerNaam" displayName="WerknemerNaam" ref="B3:B16" dataCellStyle="Werknemer">
  <autoFilter ref="B3:B16" xr:uid="{00000000-0009-0000-0100-00000D000000}"/>
  <sortState xmlns:xlrd2="http://schemas.microsoft.com/office/spreadsheetml/2017/richdata2" ref="B4:B16">
    <sortCondition ref="B4:B16"/>
  </sortState>
  <tableColumns count="1">
    <tableColumn id="1" xr3:uid="{00000000-0010-0000-0C00-000001000000}" name="Werknemersnamen" totalsRowFunction="count" totalsRowDxfId="0" dataCellStyle="Werknemer"/>
  </tableColumns>
  <tableStyleInfo name="Werknemers Verzuimtabel" showFirstColumn="1" showLastColumn="1" showRowStripes="1" showColumnStripes="0"/>
  <extLst>
    <ext xmlns:x14="http://schemas.microsoft.com/office/spreadsheetml/2009/9/main" uri="{504A1905-F514-4f6f-8877-14C23A59335A}">
      <x14:table altTextSummary="Voer de werknemersnamen in deze tabel in. Deze namen worden gebruikt als optie in kolom B van de verzuimtabel van elke maand"/>
    </ext>
  </extLst>
</table>
</file>

<file path=xl/theme/theme1.xml><?xml version="1.0" encoding="utf-8"?>
<a:theme xmlns:a="http://schemas.openxmlformats.org/drawingml/2006/main" name="Office Theme">
  <a:themeElements>
    <a:clrScheme name="Employee Absense Schedule">
      <a:dk1>
        <a:sysClr val="windowText" lastClr="000000"/>
      </a:dk1>
      <a:lt1>
        <a:sysClr val="window" lastClr="FFFFFF"/>
      </a:lt1>
      <a:dk2>
        <a:srgbClr val="4B180E"/>
      </a:dk2>
      <a:lt2>
        <a:srgbClr val="F1F2E8"/>
      </a:lt2>
      <a:accent1>
        <a:srgbClr val="A53423"/>
      </a:accent1>
      <a:accent2>
        <a:srgbClr val="E68130"/>
      </a:accent2>
      <a:accent3>
        <a:srgbClr val="9BB05D"/>
      </a:accent3>
      <a:accent4>
        <a:srgbClr val="CC9900"/>
      </a:accent4>
      <a:accent5>
        <a:srgbClr val="4F66AF"/>
      </a:accent5>
      <a:accent6>
        <a:srgbClr val="D0D2D3"/>
      </a:accent6>
      <a:hlink>
        <a:srgbClr val="4F66AF"/>
      </a:hlink>
      <a:folHlink>
        <a:srgbClr val="6B9AC6"/>
      </a:folHlink>
    </a:clrScheme>
    <a:fontScheme name="Employee Absence Schedule">
      <a:majorFont>
        <a:latin typeface="Calibri"/>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2" tint="-0.89999084444715716"/>
    <pageSetUpPr fitToPage="1"/>
  </sheetPr>
  <dimension ref="A1:AH20"/>
  <sheetViews>
    <sheetView showGridLines="0" tabSelected="1" zoomScaleNormal="100" workbookViewId="0">
      <selection activeCell="AH4" sqref="AH4"/>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1:34" ht="50" customHeight="1" x14ac:dyDescent="0.2">
      <c r="A1" s="13"/>
      <c r="B1" s="10" t="s">
        <v>0</v>
      </c>
    </row>
    <row r="2" spans="1:34" ht="15" customHeight="1" x14ac:dyDescent="0.2">
      <c r="B2" s="14" t="s">
        <v>1</v>
      </c>
      <c r="C2" s="20" t="s">
        <v>4</v>
      </c>
      <c r="D2" s="29" t="s">
        <v>6</v>
      </c>
      <c r="E2" s="29"/>
      <c r="F2" s="29"/>
      <c r="G2" s="3" t="s">
        <v>9</v>
      </c>
      <c r="H2" s="29" t="s">
        <v>13</v>
      </c>
      <c r="I2" s="29"/>
      <c r="J2" s="29"/>
      <c r="K2" s="22" t="s">
        <v>11</v>
      </c>
      <c r="L2" s="29" t="s">
        <v>18</v>
      </c>
      <c r="M2" s="29"/>
      <c r="N2" s="5" t="s">
        <v>63</v>
      </c>
      <c r="O2" s="29" t="s">
        <v>62</v>
      </c>
      <c r="P2" s="29"/>
      <c r="Q2" s="29"/>
      <c r="R2" s="21" t="s">
        <v>68</v>
      </c>
      <c r="S2" s="29" t="s">
        <v>67</v>
      </c>
      <c r="T2" s="29"/>
      <c r="U2" s="29"/>
    </row>
    <row r="3" spans="1:34" ht="15" customHeight="1" x14ac:dyDescent="0.2">
      <c r="AH3" s="15" t="s">
        <v>43</v>
      </c>
    </row>
    <row r="4" spans="1:34" ht="30" customHeight="1" x14ac:dyDescent="0.2">
      <c r="B4" s="8" t="s">
        <v>2</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v>2026</v>
      </c>
    </row>
    <row r="5" spans="1:34" ht="15" customHeight="1" x14ac:dyDescent="0.2">
      <c r="B5" s="8"/>
      <c r="C5" s="1" t="s">
        <v>78</v>
      </c>
      <c r="D5" s="1" t="s">
        <v>79</v>
      </c>
      <c r="E5" s="1" t="s">
        <v>73</v>
      </c>
      <c r="F5" s="1" t="s">
        <v>74</v>
      </c>
      <c r="G5" s="1" t="s">
        <v>75</v>
      </c>
      <c r="H5" s="1" t="s">
        <v>76</v>
      </c>
      <c r="I5" s="1" t="s">
        <v>77</v>
      </c>
      <c r="J5" s="1" t="s">
        <v>78</v>
      </c>
      <c r="K5" s="1" t="s">
        <v>79</v>
      </c>
      <c r="L5" s="1" t="s">
        <v>73</v>
      </c>
      <c r="M5" s="1" t="s">
        <v>74</v>
      </c>
      <c r="N5" s="1" t="s">
        <v>75</v>
      </c>
      <c r="O5" s="1" t="s">
        <v>76</v>
      </c>
      <c r="P5" s="1" t="s">
        <v>77</v>
      </c>
      <c r="Q5" s="1" t="s">
        <v>78</v>
      </c>
      <c r="R5" s="1" t="s">
        <v>79</v>
      </c>
      <c r="S5" s="1" t="s">
        <v>73</v>
      </c>
      <c r="T5" s="1" t="s">
        <v>74</v>
      </c>
      <c r="U5" s="1" t="s">
        <v>75</v>
      </c>
      <c r="V5" s="1" t="s">
        <v>76</v>
      </c>
      <c r="W5" s="1" t="s">
        <v>77</v>
      </c>
      <c r="X5" s="1" t="s">
        <v>78</v>
      </c>
      <c r="Y5" s="1" t="s">
        <v>79</v>
      </c>
      <c r="Z5" s="1" t="s">
        <v>73</v>
      </c>
      <c r="AA5" s="1" t="s">
        <v>74</v>
      </c>
      <c r="AB5" s="1" t="s">
        <v>75</v>
      </c>
      <c r="AC5" s="1" t="s">
        <v>76</v>
      </c>
      <c r="AD5" s="1" t="s">
        <v>77</v>
      </c>
      <c r="AE5" s="1" t="s">
        <v>78</v>
      </c>
      <c r="AF5" s="1" t="s">
        <v>79</v>
      </c>
      <c r="AG5" s="1" t="s">
        <v>73</v>
      </c>
      <c r="AH5" s="8"/>
    </row>
    <row r="6" spans="1: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1:34" ht="30" customHeight="1" x14ac:dyDescent="0.2">
      <c r="B7" t="str">
        <f>Werknemersnamen!B4</f>
        <v>Biragoye Isaac</v>
      </c>
      <c r="C7" s="25" t="s">
        <v>63</v>
      </c>
      <c r="D7" s="25" t="s">
        <v>63</v>
      </c>
      <c r="E7" s="25" t="s">
        <v>63</v>
      </c>
      <c r="F7" s="25" t="s">
        <v>63</v>
      </c>
      <c r="G7" s="25" t="s">
        <v>72</v>
      </c>
      <c r="H7" s="25" t="s">
        <v>63</v>
      </c>
      <c r="I7" s="25" t="s">
        <v>63</v>
      </c>
      <c r="J7" s="25" t="s">
        <v>63</v>
      </c>
      <c r="K7" s="25" t="s">
        <v>63</v>
      </c>
      <c r="L7" s="25" t="s">
        <v>63</v>
      </c>
      <c r="M7" s="25" t="s">
        <v>63</v>
      </c>
      <c r="N7" s="25" t="s">
        <v>72</v>
      </c>
      <c r="O7" s="25" t="s">
        <v>63</v>
      </c>
      <c r="P7" s="25" t="s">
        <v>63</v>
      </c>
      <c r="Q7" s="25" t="s">
        <v>63</v>
      </c>
      <c r="R7" s="25" t="s">
        <v>63</v>
      </c>
      <c r="S7" s="25" t="s">
        <v>63</v>
      </c>
      <c r="T7" s="25" t="s">
        <v>63</v>
      </c>
      <c r="U7" s="25" t="s">
        <v>72</v>
      </c>
      <c r="V7" s="25" t="s">
        <v>63</v>
      </c>
      <c r="W7" s="25" t="s">
        <v>63</v>
      </c>
      <c r="X7" s="25" t="s">
        <v>63</v>
      </c>
      <c r="Y7" s="25" t="s">
        <v>63</v>
      </c>
      <c r="Z7" s="25" t="s">
        <v>63</v>
      </c>
      <c r="AA7" s="25" t="s">
        <v>63</v>
      </c>
      <c r="AB7" s="25" t="s">
        <v>72</v>
      </c>
      <c r="AC7" s="25" t="s">
        <v>63</v>
      </c>
      <c r="AD7" s="25" t="s">
        <v>63</v>
      </c>
      <c r="AE7" s="25" t="s">
        <v>63</v>
      </c>
      <c r="AF7" s="25" t="s">
        <v>63</v>
      </c>
      <c r="AG7" s="25" t="s">
        <v>63</v>
      </c>
      <c r="AH7" s="7">
        <f t="shared" ref="AH7:AH18" ca="1" si="0">SUM($C$18:$AH$18)</f>
        <v>0</v>
      </c>
    </row>
    <row r="8" spans="1:34" ht="30" customHeight="1" x14ac:dyDescent="0.2">
      <c r="B8" t="str">
        <f>Werknemersnamen!B5</f>
        <v>Cinar Rafet</v>
      </c>
      <c r="C8" s="25" t="s">
        <v>63</v>
      </c>
      <c r="D8" s="25" t="s">
        <v>63</v>
      </c>
      <c r="E8" s="25" t="s">
        <v>63</v>
      </c>
      <c r="F8" s="25" t="s">
        <v>63</v>
      </c>
      <c r="G8" s="25" t="s">
        <v>72</v>
      </c>
      <c r="H8" s="25" t="s">
        <v>63</v>
      </c>
      <c r="I8" s="25" t="s">
        <v>63</v>
      </c>
      <c r="J8" s="25" t="s">
        <v>63</v>
      </c>
      <c r="K8" s="25" t="s">
        <v>63</v>
      </c>
      <c r="L8" s="25" t="s">
        <v>63</v>
      </c>
      <c r="M8" s="25" t="s">
        <v>63</v>
      </c>
      <c r="N8" s="25" t="s">
        <v>72</v>
      </c>
      <c r="O8" s="25" t="s">
        <v>63</v>
      </c>
      <c r="P8" s="25" t="s">
        <v>63</v>
      </c>
      <c r="Q8" s="25" t="s">
        <v>63</v>
      </c>
      <c r="R8" s="25" t="s">
        <v>63</v>
      </c>
      <c r="S8" s="25" t="s">
        <v>63</v>
      </c>
      <c r="T8" s="25" t="s">
        <v>63</v>
      </c>
      <c r="U8" s="25" t="s">
        <v>72</v>
      </c>
      <c r="V8" s="25" t="s">
        <v>63</v>
      </c>
      <c r="W8" s="25" t="s">
        <v>63</v>
      </c>
      <c r="X8" s="25" t="s">
        <v>63</v>
      </c>
      <c r="Y8" s="25" t="s">
        <v>63</v>
      </c>
      <c r="Z8" s="25" t="s">
        <v>63</v>
      </c>
      <c r="AA8" s="25" t="s">
        <v>63</v>
      </c>
      <c r="AB8" s="25" t="s">
        <v>72</v>
      </c>
      <c r="AC8" s="25" t="s">
        <v>63</v>
      </c>
      <c r="AD8" s="25" t="s">
        <v>63</v>
      </c>
      <c r="AE8" s="25" t="s">
        <v>63</v>
      </c>
      <c r="AF8" s="25" t="s">
        <v>63</v>
      </c>
      <c r="AG8" s="25" t="s">
        <v>63</v>
      </c>
      <c r="AH8" s="7">
        <f t="shared" ca="1" si="0"/>
        <v>0</v>
      </c>
    </row>
    <row r="9" spans="1:34" ht="30" customHeight="1" x14ac:dyDescent="0.2">
      <c r="B9" t="str">
        <f>Werknemersnamen!B6</f>
        <v>Cygora Lukasz Jan</v>
      </c>
      <c r="C9" s="25" t="s">
        <v>63</v>
      </c>
      <c r="D9" s="25" t="s">
        <v>63</v>
      </c>
      <c r="E9" s="25" t="s">
        <v>63</v>
      </c>
      <c r="F9" s="25" t="s">
        <v>63</v>
      </c>
      <c r="G9" s="25" t="s">
        <v>72</v>
      </c>
      <c r="H9" s="25" t="s">
        <v>63</v>
      </c>
      <c r="I9" s="25" t="s">
        <v>63</v>
      </c>
      <c r="J9" s="25" t="s">
        <v>63</v>
      </c>
      <c r="K9" s="25" t="s">
        <v>63</v>
      </c>
      <c r="L9" s="25" t="s">
        <v>63</v>
      </c>
      <c r="M9" s="25" t="s">
        <v>63</v>
      </c>
      <c r="N9" s="25" t="s">
        <v>72</v>
      </c>
      <c r="O9" s="25" t="s">
        <v>63</v>
      </c>
      <c r="P9" s="25" t="s">
        <v>63</v>
      </c>
      <c r="Q9" s="25" t="s">
        <v>63</v>
      </c>
      <c r="R9" s="25" t="s">
        <v>63</v>
      </c>
      <c r="S9" s="25" t="s">
        <v>63</v>
      </c>
      <c r="T9" s="25" t="s">
        <v>63</v>
      </c>
      <c r="U9" s="25" t="s">
        <v>72</v>
      </c>
      <c r="V9" s="25" t="s">
        <v>63</v>
      </c>
      <c r="W9" s="25" t="s">
        <v>63</v>
      </c>
      <c r="X9" s="25" t="s">
        <v>63</v>
      </c>
      <c r="Y9" s="25" t="s">
        <v>63</v>
      </c>
      <c r="Z9" s="25" t="s">
        <v>63</v>
      </c>
      <c r="AA9" s="25" t="s">
        <v>63</v>
      </c>
      <c r="AB9" s="25" t="s">
        <v>72</v>
      </c>
      <c r="AC9" s="25" t="s">
        <v>63</v>
      </c>
      <c r="AD9" s="25" t="s">
        <v>63</v>
      </c>
      <c r="AE9" s="25" t="s">
        <v>63</v>
      </c>
      <c r="AF9" s="25" t="s">
        <v>63</v>
      </c>
      <c r="AG9" s="25" t="s">
        <v>63</v>
      </c>
      <c r="AH9" s="7">
        <f t="shared" ca="1" si="0"/>
        <v>0</v>
      </c>
    </row>
    <row r="10" spans="1:34" ht="30" customHeight="1" x14ac:dyDescent="0.2">
      <c r="B10" t="str">
        <f>Werknemersnamen!B7</f>
        <v>El Karmoudi Taufik</v>
      </c>
      <c r="C10" s="25" t="s">
        <v>63</v>
      </c>
      <c r="D10" s="25" t="s">
        <v>63</v>
      </c>
      <c r="E10" s="25" t="s">
        <v>63</v>
      </c>
      <c r="F10" s="25" t="s">
        <v>63</v>
      </c>
      <c r="G10" s="25" t="s">
        <v>72</v>
      </c>
      <c r="H10" s="25" t="s">
        <v>63</v>
      </c>
      <c r="I10" s="25" t="s">
        <v>63</v>
      </c>
      <c r="J10" s="25" t="s">
        <v>63</v>
      </c>
      <c r="K10" s="25" t="s">
        <v>63</v>
      </c>
      <c r="L10" s="25" t="s">
        <v>63</v>
      </c>
      <c r="M10" s="25" t="s">
        <v>63</v>
      </c>
      <c r="N10" s="25" t="s">
        <v>72</v>
      </c>
      <c r="O10" s="25" t="s">
        <v>63</v>
      </c>
      <c r="P10" s="25" t="s">
        <v>63</v>
      </c>
      <c r="Q10" s="25" t="s">
        <v>63</v>
      </c>
      <c r="R10" s="25" t="s">
        <v>63</v>
      </c>
      <c r="S10" s="25" t="s">
        <v>63</v>
      </c>
      <c r="T10" s="25" t="s">
        <v>63</v>
      </c>
      <c r="U10" s="25" t="s">
        <v>72</v>
      </c>
      <c r="V10" s="25" t="s">
        <v>63</v>
      </c>
      <c r="W10" s="25" t="s">
        <v>63</v>
      </c>
      <c r="X10" s="25" t="s">
        <v>63</v>
      </c>
      <c r="Y10" s="25" t="s">
        <v>63</v>
      </c>
      <c r="Z10" s="25" t="s">
        <v>63</v>
      </c>
      <c r="AA10" s="25" t="s">
        <v>63</v>
      </c>
      <c r="AB10" s="25" t="s">
        <v>72</v>
      </c>
      <c r="AC10" s="25" t="s">
        <v>63</v>
      </c>
      <c r="AD10" s="25" t="s">
        <v>63</v>
      </c>
      <c r="AE10" s="25" t="s">
        <v>63</v>
      </c>
      <c r="AF10" s="25" t="s">
        <v>63</v>
      </c>
      <c r="AG10" s="25" t="s">
        <v>63</v>
      </c>
      <c r="AH10" s="7">
        <f t="shared" ca="1" si="0"/>
        <v>0</v>
      </c>
    </row>
    <row r="11" spans="1:34" ht="30" customHeight="1" x14ac:dyDescent="0.2">
      <c r="B11" t="str">
        <f>Werknemersnamen!B8</f>
        <v>El Maazouzi Abdelilah</v>
      </c>
      <c r="C11" s="25" t="s">
        <v>63</v>
      </c>
      <c r="D11" s="25" t="s">
        <v>63</v>
      </c>
      <c r="E11" s="25" t="s">
        <v>63</v>
      </c>
      <c r="F11" s="25" t="s">
        <v>63</v>
      </c>
      <c r="G11" s="25" t="s">
        <v>72</v>
      </c>
      <c r="H11" s="25" t="s">
        <v>63</v>
      </c>
      <c r="I11" s="25" t="s">
        <v>63</v>
      </c>
      <c r="J11" s="25" t="s">
        <v>63</v>
      </c>
      <c r="K11" s="25" t="s">
        <v>63</v>
      </c>
      <c r="L11" s="25" t="s">
        <v>63</v>
      </c>
      <c r="M11" s="25" t="s">
        <v>63</v>
      </c>
      <c r="N11" s="25" t="s">
        <v>72</v>
      </c>
      <c r="O11" s="25" t="s">
        <v>63</v>
      </c>
      <c r="P11" s="25" t="s">
        <v>63</v>
      </c>
      <c r="Q11" s="25" t="s">
        <v>63</v>
      </c>
      <c r="R11" s="25" t="s">
        <v>63</v>
      </c>
      <c r="S11" s="25" t="s">
        <v>63</v>
      </c>
      <c r="T11" s="25" t="s">
        <v>63</v>
      </c>
      <c r="U11" s="25" t="s">
        <v>72</v>
      </c>
      <c r="V11" s="25" t="s">
        <v>63</v>
      </c>
      <c r="W11" s="25" t="s">
        <v>63</v>
      </c>
      <c r="X11" s="25" t="s">
        <v>63</v>
      </c>
      <c r="Y11" s="25" t="s">
        <v>63</v>
      </c>
      <c r="Z11" s="25" t="s">
        <v>63</v>
      </c>
      <c r="AA11" s="25" t="s">
        <v>63</v>
      </c>
      <c r="AB11" s="25" t="s">
        <v>72</v>
      </c>
      <c r="AC11" s="25" t="s">
        <v>63</v>
      </c>
      <c r="AD11" s="25" t="s">
        <v>63</v>
      </c>
      <c r="AE11" s="25" t="s">
        <v>63</v>
      </c>
      <c r="AF11" s="25" t="s">
        <v>63</v>
      </c>
      <c r="AG11" s="25" t="s">
        <v>63</v>
      </c>
      <c r="AH11" s="7">
        <f t="shared" ca="1" si="0"/>
        <v>0</v>
      </c>
    </row>
    <row r="12" spans="1:34" ht="30" customHeight="1" x14ac:dyDescent="0.2">
      <c r="B12" t="str">
        <f>Werknemersnamen!B9</f>
        <v>Gultekin Muhammed A</v>
      </c>
      <c r="C12" s="25" t="s">
        <v>63</v>
      </c>
      <c r="D12" s="25" t="s">
        <v>63</v>
      </c>
      <c r="E12" s="25" t="s">
        <v>63</v>
      </c>
      <c r="F12" s="25" t="s">
        <v>63</v>
      </c>
      <c r="G12" s="25" t="s">
        <v>72</v>
      </c>
      <c r="H12" s="25" t="s">
        <v>63</v>
      </c>
      <c r="I12" s="25" t="s">
        <v>63</v>
      </c>
      <c r="J12" s="25" t="s">
        <v>63</v>
      </c>
      <c r="K12" s="25" t="s">
        <v>63</v>
      </c>
      <c r="L12" s="25" t="s">
        <v>63</v>
      </c>
      <c r="M12" s="25" t="s">
        <v>63</v>
      </c>
      <c r="N12" s="25" t="s">
        <v>72</v>
      </c>
      <c r="O12" s="25" t="s">
        <v>63</v>
      </c>
      <c r="P12" s="25" t="s">
        <v>63</v>
      </c>
      <c r="Q12" s="25" t="s">
        <v>63</v>
      </c>
      <c r="R12" s="25" t="s">
        <v>63</v>
      </c>
      <c r="S12" s="25" t="s">
        <v>63</v>
      </c>
      <c r="T12" s="25" t="s">
        <v>63</v>
      </c>
      <c r="U12" s="25" t="s">
        <v>72</v>
      </c>
      <c r="V12" s="25" t="s">
        <v>63</v>
      </c>
      <c r="W12" s="25" t="s">
        <v>63</v>
      </c>
      <c r="X12" s="25" t="s">
        <v>63</v>
      </c>
      <c r="Y12" s="25" t="s">
        <v>63</v>
      </c>
      <c r="Z12" s="25" t="s">
        <v>63</v>
      </c>
      <c r="AA12" s="25" t="s">
        <v>63</v>
      </c>
      <c r="AB12" s="25" t="s">
        <v>72</v>
      </c>
      <c r="AC12" s="25" t="s">
        <v>63</v>
      </c>
      <c r="AD12" s="25" t="s">
        <v>63</v>
      </c>
      <c r="AE12" s="25" t="s">
        <v>63</v>
      </c>
      <c r="AF12" s="25" t="s">
        <v>63</v>
      </c>
      <c r="AG12" s="25" t="s">
        <v>63</v>
      </c>
      <c r="AH12" s="7">
        <f t="shared" ca="1" si="0"/>
        <v>0</v>
      </c>
    </row>
    <row r="13" spans="1:34" ht="30" customHeight="1" x14ac:dyDescent="0.2">
      <c r="B13" t="str">
        <f>Werknemersnamen!B10</f>
        <v>Gultekin Muhammed E</v>
      </c>
      <c r="C13" s="25" t="s">
        <v>63</v>
      </c>
      <c r="D13" s="25" t="s">
        <v>63</v>
      </c>
      <c r="E13" s="25" t="s">
        <v>63</v>
      </c>
      <c r="F13" s="25" t="s">
        <v>63</v>
      </c>
      <c r="G13" s="25" t="s">
        <v>72</v>
      </c>
      <c r="H13" s="25" t="s">
        <v>63</v>
      </c>
      <c r="I13" s="25" t="s">
        <v>63</v>
      </c>
      <c r="J13" s="25" t="s">
        <v>63</v>
      </c>
      <c r="K13" s="25" t="s">
        <v>63</v>
      </c>
      <c r="L13" s="25" t="s">
        <v>63</v>
      </c>
      <c r="M13" s="25" t="s">
        <v>63</v>
      </c>
      <c r="N13" s="25" t="s">
        <v>72</v>
      </c>
      <c r="O13" s="25" t="s">
        <v>63</v>
      </c>
      <c r="P13" s="25" t="s">
        <v>63</v>
      </c>
      <c r="Q13" s="25" t="s">
        <v>63</v>
      </c>
      <c r="R13" s="25" t="s">
        <v>63</v>
      </c>
      <c r="S13" s="25" t="s">
        <v>63</v>
      </c>
      <c r="T13" s="25" t="s">
        <v>63</v>
      </c>
      <c r="U13" s="25" t="s">
        <v>72</v>
      </c>
      <c r="V13" s="25" t="s">
        <v>63</v>
      </c>
      <c r="W13" s="25" t="s">
        <v>63</v>
      </c>
      <c r="X13" s="25" t="s">
        <v>63</v>
      </c>
      <c r="Y13" s="25" t="s">
        <v>63</v>
      </c>
      <c r="Z13" s="25" t="s">
        <v>63</v>
      </c>
      <c r="AA13" s="25" t="s">
        <v>63</v>
      </c>
      <c r="AB13" s="25" t="s">
        <v>72</v>
      </c>
      <c r="AC13" s="25" t="s">
        <v>63</v>
      </c>
      <c r="AD13" s="25" t="s">
        <v>63</v>
      </c>
      <c r="AE13" s="25" t="s">
        <v>63</v>
      </c>
      <c r="AF13" s="25" t="s">
        <v>63</v>
      </c>
      <c r="AG13" s="25" t="s">
        <v>63</v>
      </c>
      <c r="AH13" s="7">
        <f t="shared" ca="1" si="0"/>
        <v>0</v>
      </c>
    </row>
    <row r="14" spans="1:34" ht="30" customHeight="1" x14ac:dyDescent="0.2">
      <c r="B14" t="str">
        <f>Werknemersnamen!B11</f>
        <v>Irakoze Patrick</v>
      </c>
      <c r="C14" s="25" t="s">
        <v>63</v>
      </c>
      <c r="D14" s="25" t="s">
        <v>63</v>
      </c>
      <c r="E14" s="25" t="s">
        <v>63</v>
      </c>
      <c r="F14" s="25" t="s">
        <v>63</v>
      </c>
      <c r="G14" s="25" t="s">
        <v>72</v>
      </c>
      <c r="H14" s="25" t="s">
        <v>63</v>
      </c>
      <c r="I14" s="25" t="s">
        <v>63</v>
      </c>
      <c r="J14" s="25" t="s">
        <v>63</v>
      </c>
      <c r="K14" s="25" t="s">
        <v>63</v>
      </c>
      <c r="L14" s="25" t="s">
        <v>63</v>
      </c>
      <c r="M14" s="25" t="s">
        <v>63</v>
      </c>
      <c r="N14" s="25" t="s">
        <v>72</v>
      </c>
      <c r="O14" s="25" t="s">
        <v>63</v>
      </c>
      <c r="P14" s="25" t="s">
        <v>63</v>
      </c>
      <c r="Q14" s="25" t="s">
        <v>63</v>
      </c>
      <c r="R14" s="25" t="s">
        <v>63</v>
      </c>
      <c r="S14" s="25" t="s">
        <v>63</v>
      </c>
      <c r="T14" s="25" t="s">
        <v>63</v>
      </c>
      <c r="U14" s="25" t="s">
        <v>72</v>
      </c>
      <c r="V14" s="25" t="s">
        <v>63</v>
      </c>
      <c r="W14" s="25" t="s">
        <v>63</v>
      </c>
      <c r="X14" s="25" t="s">
        <v>63</v>
      </c>
      <c r="Y14" s="25" t="s">
        <v>63</v>
      </c>
      <c r="Z14" s="25" t="s">
        <v>63</v>
      </c>
      <c r="AA14" s="25" t="s">
        <v>63</v>
      </c>
      <c r="AB14" s="25" t="s">
        <v>72</v>
      </c>
      <c r="AC14" s="25" t="s">
        <v>63</v>
      </c>
      <c r="AD14" s="25" t="s">
        <v>63</v>
      </c>
      <c r="AE14" s="25" t="s">
        <v>63</v>
      </c>
      <c r="AF14" s="25" t="s">
        <v>63</v>
      </c>
      <c r="AG14" s="25" t="s">
        <v>63</v>
      </c>
      <c r="AH14" s="7">
        <f t="shared" ca="1" si="0"/>
        <v>0</v>
      </c>
    </row>
    <row r="15" spans="1:34" ht="30" customHeight="1" x14ac:dyDescent="0.2">
      <c r="B15" t="str">
        <f>Werknemersnamen!B12</f>
        <v>Kacar Abdullah</v>
      </c>
      <c r="C15" s="25" t="s">
        <v>63</v>
      </c>
      <c r="D15" s="25" t="s">
        <v>63</v>
      </c>
      <c r="E15" s="25" t="s">
        <v>63</v>
      </c>
      <c r="F15" s="25" t="s">
        <v>63</v>
      </c>
      <c r="G15" s="25" t="s">
        <v>72</v>
      </c>
      <c r="H15" s="25" t="s">
        <v>63</v>
      </c>
      <c r="I15" s="25" t="s">
        <v>63</v>
      </c>
      <c r="J15" s="25" t="s">
        <v>63</v>
      </c>
      <c r="K15" s="25" t="s">
        <v>63</v>
      </c>
      <c r="L15" s="25" t="s">
        <v>63</v>
      </c>
      <c r="M15" s="25" t="s">
        <v>63</v>
      </c>
      <c r="N15" s="25" t="s">
        <v>72</v>
      </c>
      <c r="O15" s="25" t="s">
        <v>63</v>
      </c>
      <c r="P15" s="25" t="s">
        <v>63</v>
      </c>
      <c r="Q15" s="25" t="s">
        <v>63</v>
      </c>
      <c r="R15" s="25" t="s">
        <v>63</v>
      </c>
      <c r="S15" s="25" t="s">
        <v>63</v>
      </c>
      <c r="T15" s="25" t="s">
        <v>63</v>
      </c>
      <c r="U15" s="25" t="s">
        <v>72</v>
      </c>
      <c r="V15" s="25" t="s">
        <v>63</v>
      </c>
      <c r="W15" s="25" t="s">
        <v>63</v>
      </c>
      <c r="X15" s="25" t="s">
        <v>63</v>
      </c>
      <c r="Y15" s="25" t="s">
        <v>63</v>
      </c>
      <c r="Z15" s="25" t="s">
        <v>63</v>
      </c>
      <c r="AA15" s="25" t="s">
        <v>63</v>
      </c>
      <c r="AB15" s="25" t="s">
        <v>72</v>
      </c>
      <c r="AC15" s="25" t="s">
        <v>63</v>
      </c>
      <c r="AD15" s="25" t="s">
        <v>63</v>
      </c>
      <c r="AE15" s="25" t="s">
        <v>63</v>
      </c>
      <c r="AF15" s="25" t="s">
        <v>63</v>
      </c>
      <c r="AG15" s="25" t="s">
        <v>63</v>
      </c>
      <c r="AH15" s="7">
        <f t="shared" ca="1" si="0"/>
        <v>0</v>
      </c>
    </row>
    <row r="16" spans="1:34" ht="30" customHeight="1" x14ac:dyDescent="0.2">
      <c r="B16" t="str">
        <f>Werknemersnamen!B13</f>
        <v>Kefes Levent</v>
      </c>
      <c r="C16" s="25" t="s">
        <v>63</v>
      </c>
      <c r="D16" s="25" t="s">
        <v>63</v>
      </c>
      <c r="E16" s="25" t="s">
        <v>63</v>
      </c>
      <c r="F16" s="25" t="s">
        <v>63</v>
      </c>
      <c r="G16" s="25" t="s">
        <v>72</v>
      </c>
      <c r="H16" s="25" t="s">
        <v>63</v>
      </c>
      <c r="I16" s="25" t="s">
        <v>63</v>
      </c>
      <c r="J16" s="25" t="s">
        <v>63</v>
      </c>
      <c r="K16" s="25" t="s">
        <v>63</v>
      </c>
      <c r="L16" s="25" t="s">
        <v>63</v>
      </c>
      <c r="M16" s="25" t="s">
        <v>63</v>
      </c>
      <c r="N16" s="25" t="s">
        <v>72</v>
      </c>
      <c r="O16" s="25" t="s">
        <v>63</v>
      </c>
      <c r="P16" s="25" t="s">
        <v>63</v>
      </c>
      <c r="Q16" s="25" t="s">
        <v>63</v>
      </c>
      <c r="R16" s="25" t="s">
        <v>63</v>
      </c>
      <c r="S16" s="25" t="s">
        <v>63</v>
      </c>
      <c r="T16" s="25" t="s">
        <v>63</v>
      </c>
      <c r="U16" s="25" t="s">
        <v>72</v>
      </c>
      <c r="V16" s="25" t="s">
        <v>63</v>
      </c>
      <c r="W16" s="25" t="s">
        <v>63</v>
      </c>
      <c r="X16" s="25" t="s">
        <v>63</v>
      </c>
      <c r="Y16" s="25" t="s">
        <v>63</v>
      </c>
      <c r="Z16" s="25" t="s">
        <v>63</v>
      </c>
      <c r="AA16" s="25" t="s">
        <v>63</v>
      </c>
      <c r="AB16" s="25" t="s">
        <v>72</v>
      </c>
      <c r="AC16" s="25" t="s">
        <v>63</v>
      </c>
      <c r="AD16" s="25" t="s">
        <v>63</v>
      </c>
      <c r="AE16" s="25" t="s">
        <v>63</v>
      </c>
      <c r="AF16" s="25" t="s">
        <v>63</v>
      </c>
      <c r="AG16" s="25" t="s">
        <v>63</v>
      </c>
      <c r="AH16" s="7">
        <f t="shared" ca="1" si="0"/>
        <v>0</v>
      </c>
    </row>
    <row r="17" spans="2:34" ht="30" customHeight="1" x14ac:dyDescent="0.2">
      <c r="B17" t="str">
        <f>Werknemersnamen!B14</f>
        <v>Moualdine Ali</v>
      </c>
      <c r="C17" s="25" t="s">
        <v>63</v>
      </c>
      <c r="D17" s="25" t="s">
        <v>63</v>
      </c>
      <c r="E17" s="25" t="s">
        <v>63</v>
      </c>
      <c r="F17" s="25" t="s">
        <v>63</v>
      </c>
      <c r="G17" s="25" t="s">
        <v>72</v>
      </c>
      <c r="H17" s="25" t="s">
        <v>63</v>
      </c>
      <c r="I17" s="25" t="s">
        <v>63</v>
      </c>
      <c r="J17" s="25" t="s">
        <v>63</v>
      </c>
      <c r="K17" s="25" t="s">
        <v>63</v>
      </c>
      <c r="L17" s="25" t="s">
        <v>63</v>
      </c>
      <c r="M17" s="25" t="s">
        <v>63</v>
      </c>
      <c r="N17" s="25" t="s">
        <v>72</v>
      </c>
      <c r="O17" s="25" t="s">
        <v>63</v>
      </c>
      <c r="P17" s="25" t="s">
        <v>63</v>
      </c>
      <c r="Q17" s="25" t="s">
        <v>63</v>
      </c>
      <c r="R17" s="25" t="s">
        <v>63</v>
      </c>
      <c r="S17" s="25" t="s">
        <v>63</v>
      </c>
      <c r="T17" s="25" t="s">
        <v>63</v>
      </c>
      <c r="U17" s="25" t="s">
        <v>72</v>
      </c>
      <c r="V17" s="25" t="s">
        <v>63</v>
      </c>
      <c r="W17" s="25" t="s">
        <v>63</v>
      </c>
      <c r="X17" s="25" t="s">
        <v>63</v>
      </c>
      <c r="Y17" s="25" t="s">
        <v>63</v>
      </c>
      <c r="Z17" s="25" t="s">
        <v>63</v>
      </c>
      <c r="AA17" s="25" t="s">
        <v>63</v>
      </c>
      <c r="AB17" s="25" t="s">
        <v>72</v>
      </c>
      <c r="AC17" s="25" t="s">
        <v>63</v>
      </c>
      <c r="AD17" s="25" t="s">
        <v>63</v>
      </c>
      <c r="AE17" s="25" t="s">
        <v>63</v>
      </c>
      <c r="AF17" s="25" t="s">
        <v>63</v>
      </c>
      <c r="AG17" s="25" t="s">
        <v>63</v>
      </c>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2:34" ht="30" customHeight="1" x14ac:dyDescent="0.2">
      <c r="B20" t="s">
        <v>81</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18:AG18 C7:F17 H7:M17 O7:T17 V7:AA17 AC7:AG17">
    <cfRule type="expression" priority="25" stopIfTrue="1">
      <formula>C7=""</formula>
    </cfRule>
    <cfRule type="expression" dxfId="817" priority="30" stopIfTrue="1">
      <formula>C7=KeyCustom2</formula>
    </cfRule>
    <cfRule type="expression" dxfId="816" priority="31" stopIfTrue="1">
      <formula>C7=KeyCustom1</formula>
    </cfRule>
    <cfRule type="expression" dxfId="815" priority="32" stopIfTrue="1">
      <formula>C7=KeySick</formula>
    </cfRule>
    <cfRule type="expression" dxfId="814" priority="33" stopIfTrue="1">
      <formula>C7=KeyPersonal</formula>
    </cfRule>
    <cfRule type="expression" dxfId="813" priority="34" stopIfTrue="1">
      <formula>C7=KeyVacation</formula>
    </cfRule>
  </conditionalFormatting>
  <conditionalFormatting sqref="AH7:AH18">
    <cfRule type="dataBar" priority="192">
      <dataBar>
        <cfvo type="num" val="0"/>
        <cfvo type="num" val="31"/>
        <color theme="2" tint="-0.249977111117893"/>
      </dataBar>
      <extLst>
        <ext xmlns:x14="http://schemas.microsoft.com/office/spreadsheetml/2009/9/main" uri="{B025F937-C7B1-47D3-B67F-A62EFF666E3E}">
          <x14:id>{ECCE2C3C-1B01-4700-B60E-DAAAB19A9C1A}</x14:id>
        </ext>
      </extLst>
    </cfRule>
  </conditionalFormatting>
  <conditionalFormatting sqref="G7:G17">
    <cfRule type="expression" priority="19" stopIfTrue="1">
      <formula>G7=""</formula>
    </cfRule>
    <cfRule type="expression" dxfId="812" priority="20" stopIfTrue="1">
      <formula>G7=KeyCustom2</formula>
    </cfRule>
    <cfRule type="expression" dxfId="811" priority="21" stopIfTrue="1">
      <formula>G7=KeyCustom1</formula>
    </cfRule>
    <cfRule type="expression" dxfId="810" priority="22" stopIfTrue="1">
      <formula>G7=KeySick</formula>
    </cfRule>
    <cfRule type="expression" dxfId="809" priority="23" stopIfTrue="1">
      <formula>G7=KeyPersonal</formula>
    </cfRule>
    <cfRule type="expression" dxfId="808" priority="24" stopIfTrue="1">
      <formula>G7=KeyVacation</formula>
    </cfRule>
  </conditionalFormatting>
  <conditionalFormatting sqref="N7:N17">
    <cfRule type="expression" priority="13" stopIfTrue="1">
      <formula>N7=""</formula>
    </cfRule>
    <cfRule type="expression" dxfId="807" priority="14" stopIfTrue="1">
      <formula>N7=KeyCustom2</formula>
    </cfRule>
    <cfRule type="expression" dxfId="806" priority="15" stopIfTrue="1">
      <formula>N7=KeyCustom1</formula>
    </cfRule>
    <cfRule type="expression" dxfId="805" priority="16" stopIfTrue="1">
      <formula>N7=KeySick</formula>
    </cfRule>
    <cfRule type="expression" dxfId="804" priority="17" stopIfTrue="1">
      <formula>N7=KeyPersonal</formula>
    </cfRule>
    <cfRule type="expression" dxfId="803" priority="18" stopIfTrue="1">
      <formula>N7=KeyVacation</formula>
    </cfRule>
  </conditionalFormatting>
  <conditionalFormatting sqref="U7:U17">
    <cfRule type="expression" priority="7" stopIfTrue="1">
      <formula>U7=""</formula>
    </cfRule>
    <cfRule type="expression" dxfId="802" priority="8" stopIfTrue="1">
      <formula>U7=KeyCustom2</formula>
    </cfRule>
    <cfRule type="expression" dxfId="801" priority="9" stopIfTrue="1">
      <formula>U7=KeyCustom1</formula>
    </cfRule>
    <cfRule type="expression" dxfId="800" priority="10" stopIfTrue="1">
      <formula>U7=KeySick</formula>
    </cfRule>
    <cfRule type="expression" dxfId="799" priority="11" stopIfTrue="1">
      <formula>U7=KeyPersonal</formula>
    </cfRule>
    <cfRule type="expression" dxfId="798" priority="12" stopIfTrue="1">
      <formula>U7=KeyVacation</formula>
    </cfRule>
  </conditionalFormatting>
  <conditionalFormatting sqref="AB7:AB17">
    <cfRule type="expression" priority="1" stopIfTrue="1">
      <formula>AB7=""</formula>
    </cfRule>
    <cfRule type="expression" dxfId="797" priority="2" stopIfTrue="1">
      <formula>AB7=KeyCustom2</formula>
    </cfRule>
    <cfRule type="expression" dxfId="796" priority="3" stopIfTrue="1">
      <formula>AB7=KeyCustom1</formula>
    </cfRule>
    <cfRule type="expression" dxfId="795" priority="4" stopIfTrue="1">
      <formula>AB7=KeySick</formula>
    </cfRule>
    <cfRule type="expression" dxfId="794" priority="5" stopIfTrue="1">
      <formula>AB7=KeyPersonal</formula>
    </cfRule>
    <cfRule type="expression" dxfId="793" priority="6" stopIfTrue="1">
      <formula>AB7=KeyVacation</formula>
    </cfRule>
  </conditionalFormatting>
  <dataValidations count="14">
    <dataValidation allowBlank="1" showInputMessage="1" showErrorMessage="1" prompt="Voer het jaar in deze cel in" sqref="AH4" xr:uid="{00000000-0002-0000-0000-000000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00000000-0002-0000-0000-000001000000}"/>
    <dataValidation allowBlank="1" showInputMessage="1" showErrorMessage="1" prompt="De dagen van de maand in deze rij worden automatisch gegenereerd. Voer voor elke dag van de maand in elke kolom het verzuim en het type verzuim van een werknemer in. Leeg betekent geen verzuim" sqref="C6" xr:uid="{00000000-0002-0000-0000-000002000000}"/>
    <dataValidation allowBlank="1" showInputMessage="1" showErrorMessage="1" prompt="Berekent automatisch het totaal aantal dagen dat een werknemer in deze maand niet afwezig was" sqref="AH6" xr:uid="{00000000-0002-0000-0000-000004000000}"/>
    <dataValidation allowBlank="1" showInputMessage="1" showErrorMessage="1" prompt="De titel van het werkblad bevindt zich in deze cel. Werk de titel bij en de wijzigingen worden automatisch overgenomen door elk werkblad" sqref="B1" xr:uid="{00000000-0002-0000-0000-000005000000}"/>
    <dataValidation allowBlank="1" showInputMessage="1" showErrorMessage="1" prompt="Maand van dit verzuimschema. Werk het jaar bij in cel AH4. Houd de totalen bij per maand in de laatste cel van de tabel. Namen van werknemers invoeren in tabelkolom B" sqref="B4" xr:uid="{00000000-0002-0000-0000-000006000000}"/>
    <dataValidation allowBlank="1" showInputMessage="1" showErrorMessage="1" prompt="Deze rij definieert de sleutels die worden gebruikt in de tabel: cel C2 is Vakantie, G2 is Persoonlijk en K2 is Ziekteverlof. De cellen N2 en R2 kunnen worden aangepast" sqref="B2" xr:uid="{00000000-0002-0000-0000-000007000000}"/>
    <dataValidation allowBlank="1" showInputMessage="1" showErrorMessage="1" prompt="De letter &quot;V&quot; geeft afwezigheid vanwege vakantie aan" sqref="C2" xr:uid="{00000000-0002-0000-0000-000008000000}"/>
    <dataValidation allowBlank="1" showInputMessage="1" showErrorMessage="1" prompt="De letter &quot;P&quot; geeft afwezigheid vanwege persoonlijke redenen aan" sqref="G2" xr:uid="{00000000-0002-0000-0000-000009000000}"/>
    <dataValidation allowBlank="1" showInputMessage="1" showErrorMessage="1" prompt="De letter &quot;Z&quot; geeft afwezigheid vanwege ziekte aan" sqref="K2" xr:uid="{00000000-0002-0000-0000-00000A000000}"/>
    <dataValidation allowBlank="1" showInputMessage="1" showErrorMessage="1" prompt="Voer een letter in en pas rechts het label aan om een ander sleutelitem toe te voegen" sqref="N2 R2" xr:uid="{00000000-0002-0000-0000-00000B000000}"/>
    <dataValidation allowBlank="1" showInputMessage="1" showErrorMessage="1" prompt="Voer links een label in om de aangepaste sleutel te beschrijven" sqref="O2:Q2 S2:U2" xr:uid="{00000000-0002-0000-0000-00000C000000}"/>
    <dataValidation allowBlank="1" showInputMessage="1" showErrorMessage="1" prompt="De Werknemers Verzuimtabel houdt het verzuim van werknemers per dag bij voor elke maand. Er zijn 13 werkbladen, met een maandelijkse en laatste voor namen van werknemers. Het verzuim van januari in dit werkblad volgen" sqref="A1" xr:uid="{00000000-0002-0000-0000-00000D000000}"/>
    <dataValidation allowBlank="1" showInputMessage="1" showErrorMessage="1" prompt="Jaar invoeren in de cel eronder" sqref="AH3" xr:uid="{00000000-0002-0000-0000-00000E000000}"/>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ECCE2C3C-1B01-4700-B60E-DAAAB19A9C1A}">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tabColor theme="2" tint="-0.749992370372631"/>
    <pageSetUpPr fitToPage="1"/>
  </sheetPr>
  <dimension ref="B1:AH20"/>
  <sheetViews>
    <sheetView showGridLines="0" zoomScaleNormal="100" workbookViewId="0">
      <selection activeCell="D7" sqref="D7:D17"/>
    </sheetView>
  </sheetViews>
  <sheetFormatPr baseColWidth="10" defaultColWidth="9.16406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row r="4" spans="2:34" ht="30" customHeight="1" x14ac:dyDescent="0.2">
      <c r="B4" s="8" t="s">
        <v>44</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74</v>
      </c>
      <c r="D5" s="1" t="s">
        <v>75</v>
      </c>
      <c r="E5" s="1" t="s">
        <v>76</v>
      </c>
      <c r="F5" s="1" t="s">
        <v>77</v>
      </c>
      <c r="G5" s="1" t="s">
        <v>78</v>
      </c>
      <c r="H5" s="1" t="s">
        <v>79</v>
      </c>
      <c r="I5" s="1" t="s">
        <v>73</v>
      </c>
      <c r="J5" s="1" t="s">
        <v>74</v>
      </c>
      <c r="K5" s="1" t="s">
        <v>75</v>
      </c>
      <c r="L5" s="1" t="s">
        <v>76</v>
      </c>
      <c r="M5" s="1" t="s">
        <v>77</v>
      </c>
      <c r="N5" s="1" t="s">
        <v>78</v>
      </c>
      <c r="O5" s="1" t="s">
        <v>79</v>
      </c>
      <c r="P5" s="1" t="s">
        <v>73</v>
      </c>
      <c r="Q5" s="1" t="s">
        <v>74</v>
      </c>
      <c r="R5" s="1" t="s">
        <v>75</v>
      </c>
      <c r="S5" s="1" t="s">
        <v>76</v>
      </c>
      <c r="T5" s="1" t="s">
        <v>77</v>
      </c>
      <c r="U5" s="1" t="s">
        <v>78</v>
      </c>
      <c r="V5" s="1" t="s">
        <v>79</v>
      </c>
      <c r="W5" s="1" t="s">
        <v>73</v>
      </c>
      <c r="X5" s="1" t="s">
        <v>74</v>
      </c>
      <c r="Y5" s="1" t="s">
        <v>75</v>
      </c>
      <c r="Z5" s="1" t="s">
        <v>76</v>
      </c>
      <c r="AA5" s="1" t="s">
        <v>77</v>
      </c>
      <c r="AB5" s="1" t="s">
        <v>78</v>
      </c>
      <c r="AC5" s="1" t="s">
        <v>79</v>
      </c>
      <c r="AD5" s="1" t="s">
        <v>73</v>
      </c>
      <c r="AE5" s="1"/>
      <c r="AF5" s="1"/>
      <c r="AG5" s="1"/>
      <c r="AH5" s="8"/>
    </row>
    <row r="6" spans="2: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2:34" ht="30" customHeight="1" x14ac:dyDescent="0.2">
      <c r="B7" t="str">
        <f>Werknemersnamen!B4</f>
        <v>Biragoye Isaac</v>
      </c>
      <c r="C7" s="25" t="s">
        <v>63</v>
      </c>
      <c r="D7" s="25" t="s">
        <v>72</v>
      </c>
      <c r="E7" s="25" t="s">
        <v>63</v>
      </c>
      <c r="F7" s="25" t="s">
        <v>63</v>
      </c>
      <c r="G7" s="25" t="s">
        <v>63</v>
      </c>
      <c r="H7" s="25" t="s">
        <v>63</v>
      </c>
      <c r="I7" s="25" t="s">
        <v>63</v>
      </c>
      <c r="J7" s="25" t="s">
        <v>63</v>
      </c>
      <c r="K7" s="25" t="s">
        <v>72</v>
      </c>
      <c r="L7" s="25" t="s">
        <v>63</v>
      </c>
      <c r="M7" s="25" t="s">
        <v>63</v>
      </c>
      <c r="N7" s="25" t="s">
        <v>63</v>
      </c>
      <c r="O7" s="25" t="s">
        <v>63</v>
      </c>
      <c r="P7" s="25" t="s">
        <v>63</v>
      </c>
      <c r="Q7" s="25" t="s">
        <v>63</v>
      </c>
      <c r="R7" s="25" t="s">
        <v>72</v>
      </c>
      <c r="S7" s="25" t="s">
        <v>63</v>
      </c>
      <c r="T7" s="25" t="s">
        <v>63</v>
      </c>
      <c r="U7" s="25" t="s">
        <v>63</v>
      </c>
      <c r="V7" s="25" t="s">
        <v>63</v>
      </c>
      <c r="W7" s="25" t="s">
        <v>63</v>
      </c>
      <c r="X7" s="25" t="s">
        <v>63</v>
      </c>
      <c r="Y7" s="25" t="s">
        <v>72</v>
      </c>
      <c r="Z7" s="25" t="s">
        <v>63</v>
      </c>
      <c r="AA7" s="25" t="s">
        <v>63</v>
      </c>
      <c r="AB7" s="25" t="s">
        <v>63</v>
      </c>
      <c r="AC7" s="25" t="s">
        <v>63</v>
      </c>
      <c r="AD7" s="25" t="s">
        <v>63</v>
      </c>
      <c r="AE7" s="25"/>
      <c r="AF7" s="1"/>
      <c r="AG7" s="1"/>
      <c r="AH7" s="7">
        <f t="shared" ref="AH7:AH18" ca="1" si="0">SUM($C$18:$AH$18)</f>
        <v>0</v>
      </c>
    </row>
    <row r="8" spans="2:34" ht="30" customHeight="1" x14ac:dyDescent="0.2">
      <c r="B8" t="str">
        <f>Werknemersnamen!B5</f>
        <v>Cinar Rafet</v>
      </c>
      <c r="C8" s="25" t="s">
        <v>63</v>
      </c>
      <c r="D8" s="25" t="s">
        <v>72</v>
      </c>
      <c r="E8" s="25" t="s">
        <v>63</v>
      </c>
      <c r="F8" s="25" t="s">
        <v>63</v>
      </c>
      <c r="G8" s="25" t="s">
        <v>63</v>
      </c>
      <c r="H8" s="25" t="s">
        <v>63</v>
      </c>
      <c r="I8" s="25" t="s">
        <v>63</v>
      </c>
      <c r="J8" s="25" t="s">
        <v>63</v>
      </c>
      <c r="K8" s="25" t="s">
        <v>72</v>
      </c>
      <c r="L8" s="25" t="s">
        <v>63</v>
      </c>
      <c r="M8" s="25" t="s">
        <v>63</v>
      </c>
      <c r="N8" s="25" t="s">
        <v>63</v>
      </c>
      <c r="O8" s="25" t="s">
        <v>63</v>
      </c>
      <c r="P8" s="25" t="s">
        <v>63</v>
      </c>
      <c r="Q8" s="25" t="s">
        <v>63</v>
      </c>
      <c r="R8" s="25" t="s">
        <v>72</v>
      </c>
      <c r="S8" s="25" t="s">
        <v>63</v>
      </c>
      <c r="T8" s="25" t="s">
        <v>63</v>
      </c>
      <c r="U8" s="25" t="s">
        <v>63</v>
      </c>
      <c r="V8" s="25" t="s">
        <v>63</v>
      </c>
      <c r="W8" s="25" t="s">
        <v>63</v>
      </c>
      <c r="X8" s="25" t="s">
        <v>63</v>
      </c>
      <c r="Y8" s="25" t="s">
        <v>72</v>
      </c>
      <c r="Z8" s="25" t="s">
        <v>63</v>
      </c>
      <c r="AA8" s="25" t="s">
        <v>63</v>
      </c>
      <c r="AB8" s="25" t="s">
        <v>63</v>
      </c>
      <c r="AC8" s="25" t="s">
        <v>63</v>
      </c>
      <c r="AD8" s="25" t="s">
        <v>63</v>
      </c>
      <c r="AE8" s="25"/>
      <c r="AF8" s="1"/>
      <c r="AG8" s="1"/>
      <c r="AH8" s="7">
        <f t="shared" ca="1" si="0"/>
        <v>0</v>
      </c>
    </row>
    <row r="9" spans="2:34" ht="30" customHeight="1" x14ac:dyDescent="0.2">
      <c r="B9" t="str">
        <f>Werknemersnamen!B6</f>
        <v>Cygora Lukasz Jan</v>
      </c>
      <c r="C9" s="25" t="s">
        <v>63</v>
      </c>
      <c r="D9" s="25" t="s">
        <v>72</v>
      </c>
      <c r="E9" s="25" t="s">
        <v>63</v>
      </c>
      <c r="F9" s="25" t="s">
        <v>63</v>
      </c>
      <c r="G9" s="25" t="s">
        <v>63</v>
      </c>
      <c r="H9" s="25" t="s">
        <v>63</v>
      </c>
      <c r="I9" s="25" t="s">
        <v>63</v>
      </c>
      <c r="J9" s="25" t="s">
        <v>63</v>
      </c>
      <c r="K9" s="25" t="s">
        <v>72</v>
      </c>
      <c r="L9" s="25" t="s">
        <v>63</v>
      </c>
      <c r="M9" s="25" t="s">
        <v>63</v>
      </c>
      <c r="N9" s="25" t="s">
        <v>63</v>
      </c>
      <c r="O9" s="25" t="s">
        <v>63</v>
      </c>
      <c r="P9" s="25" t="s">
        <v>63</v>
      </c>
      <c r="Q9" s="25" t="s">
        <v>63</v>
      </c>
      <c r="R9" s="25" t="s">
        <v>72</v>
      </c>
      <c r="S9" s="25" t="s">
        <v>63</v>
      </c>
      <c r="T9" s="25" t="s">
        <v>63</v>
      </c>
      <c r="U9" s="25" t="s">
        <v>63</v>
      </c>
      <c r="V9" s="25" t="s">
        <v>63</v>
      </c>
      <c r="W9" s="25" t="s">
        <v>63</v>
      </c>
      <c r="X9" s="25" t="s">
        <v>63</v>
      </c>
      <c r="Y9" s="25" t="s">
        <v>72</v>
      </c>
      <c r="Z9" s="25" t="s">
        <v>63</v>
      </c>
      <c r="AA9" s="25" t="s">
        <v>63</v>
      </c>
      <c r="AB9" s="25" t="s">
        <v>63</v>
      </c>
      <c r="AC9" s="25" t="s">
        <v>63</v>
      </c>
      <c r="AD9" s="25" t="s">
        <v>63</v>
      </c>
      <c r="AE9" s="25"/>
      <c r="AF9" s="1"/>
      <c r="AG9" s="1"/>
      <c r="AH9" s="7">
        <f t="shared" ca="1" si="0"/>
        <v>0</v>
      </c>
    </row>
    <row r="10" spans="2:34" ht="30" customHeight="1" x14ac:dyDescent="0.2">
      <c r="B10" t="str">
        <f>Werknemersnamen!B7</f>
        <v>El Karmoudi Taufik</v>
      </c>
      <c r="C10" s="25" t="s">
        <v>63</v>
      </c>
      <c r="D10" s="25" t="s">
        <v>72</v>
      </c>
      <c r="E10" s="25" t="s">
        <v>63</v>
      </c>
      <c r="F10" s="25" t="s">
        <v>63</v>
      </c>
      <c r="G10" s="25" t="s">
        <v>63</v>
      </c>
      <c r="H10" s="25" t="s">
        <v>63</v>
      </c>
      <c r="I10" s="25" t="s">
        <v>63</v>
      </c>
      <c r="J10" s="25" t="s">
        <v>63</v>
      </c>
      <c r="K10" s="25" t="s">
        <v>72</v>
      </c>
      <c r="L10" s="25" t="s">
        <v>63</v>
      </c>
      <c r="M10" s="25" t="s">
        <v>63</v>
      </c>
      <c r="N10" s="25" t="s">
        <v>63</v>
      </c>
      <c r="O10" s="25" t="s">
        <v>63</v>
      </c>
      <c r="P10" s="25" t="s">
        <v>63</v>
      </c>
      <c r="Q10" s="25" t="s">
        <v>63</v>
      </c>
      <c r="R10" s="25" t="s">
        <v>72</v>
      </c>
      <c r="S10" s="25" t="s">
        <v>63</v>
      </c>
      <c r="T10" s="25" t="s">
        <v>63</v>
      </c>
      <c r="U10" s="25" t="s">
        <v>63</v>
      </c>
      <c r="V10" s="25" t="s">
        <v>63</v>
      </c>
      <c r="W10" s="25" t="s">
        <v>63</v>
      </c>
      <c r="X10" s="25" t="s">
        <v>63</v>
      </c>
      <c r="Y10" s="25" t="s">
        <v>72</v>
      </c>
      <c r="Z10" s="25" t="s">
        <v>63</v>
      </c>
      <c r="AA10" s="25" t="s">
        <v>63</v>
      </c>
      <c r="AB10" s="25" t="s">
        <v>63</v>
      </c>
      <c r="AC10" s="25" t="s">
        <v>63</v>
      </c>
      <c r="AD10" s="25" t="s">
        <v>63</v>
      </c>
      <c r="AE10" s="25"/>
      <c r="AF10" s="1"/>
      <c r="AG10" s="1"/>
      <c r="AH10" s="7">
        <f t="shared" ca="1" si="0"/>
        <v>0</v>
      </c>
    </row>
    <row r="11" spans="2:34" ht="30" customHeight="1" x14ac:dyDescent="0.2">
      <c r="B11" t="str">
        <f>Werknemersnamen!B8</f>
        <v>El Maazouzi Abdelilah</v>
      </c>
      <c r="C11" s="25" t="s">
        <v>63</v>
      </c>
      <c r="D11" s="25" t="s">
        <v>72</v>
      </c>
      <c r="E11" s="25" t="s">
        <v>63</v>
      </c>
      <c r="F11" s="25" t="s">
        <v>63</v>
      </c>
      <c r="G11" s="25" t="s">
        <v>63</v>
      </c>
      <c r="H11" s="25" t="s">
        <v>63</v>
      </c>
      <c r="I11" s="25" t="s">
        <v>63</v>
      </c>
      <c r="J11" s="25" t="s">
        <v>63</v>
      </c>
      <c r="K11" s="25" t="s">
        <v>72</v>
      </c>
      <c r="L11" s="25" t="s">
        <v>63</v>
      </c>
      <c r="M11" s="25" t="s">
        <v>63</v>
      </c>
      <c r="N11" s="25" t="s">
        <v>63</v>
      </c>
      <c r="O11" s="25" t="s">
        <v>63</v>
      </c>
      <c r="P11" s="25" t="s">
        <v>63</v>
      </c>
      <c r="Q11" s="25" t="s">
        <v>63</v>
      </c>
      <c r="R11" s="25" t="s">
        <v>72</v>
      </c>
      <c r="S11" s="25" t="s">
        <v>63</v>
      </c>
      <c r="T11" s="25" t="s">
        <v>63</v>
      </c>
      <c r="U11" s="25" t="s">
        <v>63</v>
      </c>
      <c r="V11" s="25" t="s">
        <v>63</v>
      </c>
      <c r="W11" s="25" t="s">
        <v>63</v>
      </c>
      <c r="X11" s="25" t="s">
        <v>63</v>
      </c>
      <c r="Y11" s="25" t="s">
        <v>72</v>
      </c>
      <c r="Z11" s="25" t="s">
        <v>63</v>
      </c>
      <c r="AA11" s="25" t="s">
        <v>63</v>
      </c>
      <c r="AB11" s="25" t="s">
        <v>63</v>
      </c>
      <c r="AC11" s="25" t="s">
        <v>63</v>
      </c>
      <c r="AD11" s="25" t="s">
        <v>63</v>
      </c>
      <c r="AE11" s="25"/>
      <c r="AF11" s="1"/>
      <c r="AG11" s="1"/>
      <c r="AH11" s="7">
        <f t="shared" ca="1" si="0"/>
        <v>0</v>
      </c>
    </row>
    <row r="12" spans="2:34" ht="30" customHeight="1" x14ac:dyDescent="0.2">
      <c r="B12" t="str">
        <f>Werknemersnamen!B9</f>
        <v>Gultekin Muhammed A</v>
      </c>
      <c r="C12" s="25" t="s">
        <v>63</v>
      </c>
      <c r="D12" s="25" t="s">
        <v>72</v>
      </c>
      <c r="E12" s="25" t="s">
        <v>63</v>
      </c>
      <c r="F12" s="25" t="s">
        <v>63</v>
      </c>
      <c r="G12" s="25" t="s">
        <v>63</v>
      </c>
      <c r="H12" s="25" t="s">
        <v>63</v>
      </c>
      <c r="I12" s="25" t="s">
        <v>63</v>
      </c>
      <c r="J12" s="25" t="s">
        <v>63</v>
      </c>
      <c r="K12" s="25" t="s">
        <v>72</v>
      </c>
      <c r="L12" s="25" t="s">
        <v>63</v>
      </c>
      <c r="M12" s="25" t="s">
        <v>63</v>
      </c>
      <c r="N12" s="25" t="s">
        <v>63</v>
      </c>
      <c r="O12" s="25" t="s">
        <v>63</v>
      </c>
      <c r="P12" s="25" t="s">
        <v>63</v>
      </c>
      <c r="Q12" s="25" t="s">
        <v>63</v>
      </c>
      <c r="R12" s="25" t="s">
        <v>72</v>
      </c>
      <c r="S12" s="25" t="s">
        <v>63</v>
      </c>
      <c r="T12" s="25" t="s">
        <v>63</v>
      </c>
      <c r="U12" s="25" t="s">
        <v>63</v>
      </c>
      <c r="V12" s="25" t="s">
        <v>63</v>
      </c>
      <c r="W12" s="25" t="s">
        <v>63</v>
      </c>
      <c r="X12" s="25" t="s">
        <v>63</v>
      </c>
      <c r="Y12" s="25" t="s">
        <v>72</v>
      </c>
      <c r="Z12" s="25" t="s">
        <v>63</v>
      </c>
      <c r="AA12" s="25" t="s">
        <v>63</v>
      </c>
      <c r="AB12" s="25" t="s">
        <v>63</v>
      </c>
      <c r="AC12" s="25" t="s">
        <v>63</v>
      </c>
      <c r="AD12" s="25" t="s">
        <v>63</v>
      </c>
      <c r="AE12" s="25"/>
      <c r="AF12" s="1"/>
      <c r="AG12" s="1"/>
      <c r="AH12" s="7">
        <f t="shared" ca="1" si="0"/>
        <v>0</v>
      </c>
    </row>
    <row r="13" spans="2:34" ht="30" customHeight="1" x14ac:dyDescent="0.2">
      <c r="B13" t="str">
        <f>Werknemersnamen!B10</f>
        <v>Gultekin Muhammed E</v>
      </c>
      <c r="C13" s="25" t="s">
        <v>63</v>
      </c>
      <c r="D13" s="25" t="s">
        <v>72</v>
      </c>
      <c r="E13" s="25" t="s">
        <v>63</v>
      </c>
      <c r="F13" s="25" t="s">
        <v>63</v>
      </c>
      <c r="G13" s="25" t="s">
        <v>63</v>
      </c>
      <c r="H13" s="25" t="s">
        <v>63</v>
      </c>
      <c r="I13" s="25" t="s">
        <v>63</v>
      </c>
      <c r="J13" s="25" t="s">
        <v>63</v>
      </c>
      <c r="K13" s="25" t="s">
        <v>72</v>
      </c>
      <c r="L13" s="25" t="s">
        <v>63</v>
      </c>
      <c r="M13" s="25" t="s">
        <v>63</v>
      </c>
      <c r="N13" s="25" t="s">
        <v>63</v>
      </c>
      <c r="O13" s="25" t="s">
        <v>63</v>
      </c>
      <c r="P13" s="25" t="s">
        <v>63</v>
      </c>
      <c r="Q13" s="25" t="s">
        <v>63</v>
      </c>
      <c r="R13" s="25" t="s">
        <v>72</v>
      </c>
      <c r="S13" s="25" t="s">
        <v>63</v>
      </c>
      <c r="T13" s="25" t="s">
        <v>63</v>
      </c>
      <c r="U13" s="25" t="s">
        <v>63</v>
      </c>
      <c r="V13" s="25" t="s">
        <v>63</v>
      </c>
      <c r="W13" s="25" t="s">
        <v>63</v>
      </c>
      <c r="X13" s="25" t="s">
        <v>63</v>
      </c>
      <c r="Y13" s="25" t="s">
        <v>72</v>
      </c>
      <c r="Z13" s="25" t="s">
        <v>63</v>
      </c>
      <c r="AA13" s="25" t="s">
        <v>63</v>
      </c>
      <c r="AB13" s="25" t="s">
        <v>63</v>
      </c>
      <c r="AC13" s="25" t="s">
        <v>63</v>
      </c>
      <c r="AD13" s="25" t="s">
        <v>63</v>
      </c>
      <c r="AE13" s="25"/>
      <c r="AF13" s="1"/>
      <c r="AG13" s="1"/>
      <c r="AH13" s="7">
        <f t="shared" ca="1" si="0"/>
        <v>0</v>
      </c>
    </row>
    <row r="14" spans="2:34" ht="30" customHeight="1" x14ac:dyDescent="0.2">
      <c r="B14" t="str">
        <f>Werknemersnamen!B11</f>
        <v>Irakoze Patrick</v>
      </c>
      <c r="C14" s="25" t="s">
        <v>63</v>
      </c>
      <c r="D14" s="25" t="s">
        <v>72</v>
      </c>
      <c r="E14" s="25" t="s">
        <v>63</v>
      </c>
      <c r="F14" s="25" t="s">
        <v>63</v>
      </c>
      <c r="G14" s="25" t="s">
        <v>63</v>
      </c>
      <c r="H14" s="25" t="s">
        <v>63</v>
      </c>
      <c r="I14" s="25" t="s">
        <v>63</v>
      </c>
      <c r="J14" s="25" t="s">
        <v>63</v>
      </c>
      <c r="K14" s="25" t="s">
        <v>72</v>
      </c>
      <c r="L14" s="25" t="s">
        <v>63</v>
      </c>
      <c r="M14" s="25" t="s">
        <v>63</v>
      </c>
      <c r="N14" s="25" t="s">
        <v>63</v>
      </c>
      <c r="O14" s="25" t="s">
        <v>63</v>
      </c>
      <c r="P14" s="25" t="s">
        <v>63</v>
      </c>
      <c r="Q14" s="25" t="s">
        <v>63</v>
      </c>
      <c r="R14" s="25" t="s">
        <v>72</v>
      </c>
      <c r="S14" s="25" t="s">
        <v>63</v>
      </c>
      <c r="T14" s="25" t="s">
        <v>63</v>
      </c>
      <c r="U14" s="25" t="s">
        <v>63</v>
      </c>
      <c r="V14" s="25" t="s">
        <v>63</v>
      </c>
      <c r="W14" s="25" t="s">
        <v>63</v>
      </c>
      <c r="X14" s="25" t="s">
        <v>63</v>
      </c>
      <c r="Y14" s="25" t="s">
        <v>72</v>
      </c>
      <c r="Z14" s="25" t="s">
        <v>63</v>
      </c>
      <c r="AA14" s="25" t="s">
        <v>63</v>
      </c>
      <c r="AB14" s="25" t="s">
        <v>63</v>
      </c>
      <c r="AC14" s="25" t="s">
        <v>63</v>
      </c>
      <c r="AD14" s="25" t="s">
        <v>63</v>
      </c>
      <c r="AE14" s="25"/>
      <c r="AF14" s="1"/>
      <c r="AG14" s="1"/>
      <c r="AH14" s="7">
        <f t="shared" ca="1" si="0"/>
        <v>0</v>
      </c>
    </row>
    <row r="15" spans="2:34" ht="30" customHeight="1" x14ac:dyDescent="0.2">
      <c r="B15" t="str">
        <f>Werknemersnamen!B12</f>
        <v>Kacar Abdullah</v>
      </c>
      <c r="C15" s="25" t="s">
        <v>63</v>
      </c>
      <c r="D15" s="25" t="s">
        <v>72</v>
      </c>
      <c r="E15" s="25" t="s">
        <v>63</v>
      </c>
      <c r="F15" s="25" t="s">
        <v>63</v>
      </c>
      <c r="G15" s="25" t="s">
        <v>63</v>
      </c>
      <c r="H15" s="25" t="s">
        <v>63</v>
      </c>
      <c r="I15" s="25" t="s">
        <v>63</v>
      </c>
      <c r="J15" s="25" t="s">
        <v>63</v>
      </c>
      <c r="K15" s="25" t="s">
        <v>72</v>
      </c>
      <c r="L15" s="25" t="s">
        <v>63</v>
      </c>
      <c r="M15" s="25" t="s">
        <v>63</v>
      </c>
      <c r="N15" s="25" t="s">
        <v>63</v>
      </c>
      <c r="O15" s="25" t="s">
        <v>63</v>
      </c>
      <c r="P15" s="25" t="s">
        <v>63</v>
      </c>
      <c r="Q15" s="25" t="s">
        <v>63</v>
      </c>
      <c r="R15" s="25" t="s">
        <v>72</v>
      </c>
      <c r="S15" s="25" t="s">
        <v>63</v>
      </c>
      <c r="T15" s="25" t="s">
        <v>63</v>
      </c>
      <c r="U15" s="25" t="s">
        <v>63</v>
      </c>
      <c r="V15" s="25" t="s">
        <v>63</v>
      </c>
      <c r="W15" s="25" t="s">
        <v>63</v>
      </c>
      <c r="X15" s="25" t="s">
        <v>63</v>
      </c>
      <c r="Y15" s="25" t="s">
        <v>72</v>
      </c>
      <c r="Z15" s="25" t="s">
        <v>63</v>
      </c>
      <c r="AA15" s="25" t="s">
        <v>63</v>
      </c>
      <c r="AB15" s="25" t="s">
        <v>63</v>
      </c>
      <c r="AC15" s="25" t="s">
        <v>63</v>
      </c>
      <c r="AD15" s="25" t="s">
        <v>63</v>
      </c>
      <c r="AE15" s="25"/>
      <c r="AF15" s="1"/>
      <c r="AG15" s="1"/>
      <c r="AH15" s="7">
        <f t="shared" ca="1" si="0"/>
        <v>0</v>
      </c>
    </row>
    <row r="16" spans="2:34" ht="30" customHeight="1" x14ac:dyDescent="0.2">
      <c r="B16" t="str">
        <f>Werknemersnamen!B13</f>
        <v>Kefes Levent</v>
      </c>
      <c r="C16" s="25" t="s">
        <v>63</v>
      </c>
      <c r="D16" s="25" t="s">
        <v>72</v>
      </c>
      <c r="E16" s="25" t="s">
        <v>63</v>
      </c>
      <c r="F16" s="25" t="s">
        <v>63</v>
      </c>
      <c r="G16" s="25" t="s">
        <v>63</v>
      </c>
      <c r="H16" s="25" t="s">
        <v>63</v>
      </c>
      <c r="I16" s="25" t="s">
        <v>63</v>
      </c>
      <c r="J16" s="25" t="s">
        <v>63</v>
      </c>
      <c r="K16" s="25" t="s">
        <v>72</v>
      </c>
      <c r="L16" s="25" t="s">
        <v>63</v>
      </c>
      <c r="M16" s="25" t="s">
        <v>63</v>
      </c>
      <c r="N16" s="25" t="s">
        <v>63</v>
      </c>
      <c r="O16" s="25" t="s">
        <v>63</v>
      </c>
      <c r="P16" s="25" t="s">
        <v>63</v>
      </c>
      <c r="Q16" s="25" t="s">
        <v>63</v>
      </c>
      <c r="R16" s="25" t="s">
        <v>72</v>
      </c>
      <c r="S16" s="25" t="s">
        <v>63</v>
      </c>
      <c r="T16" s="25" t="s">
        <v>63</v>
      </c>
      <c r="U16" s="25" t="s">
        <v>63</v>
      </c>
      <c r="V16" s="25" t="s">
        <v>63</v>
      </c>
      <c r="W16" s="25" t="s">
        <v>63</v>
      </c>
      <c r="X16" s="25" t="s">
        <v>63</v>
      </c>
      <c r="Y16" s="25" t="s">
        <v>72</v>
      </c>
      <c r="Z16" s="25" t="s">
        <v>63</v>
      </c>
      <c r="AA16" s="25" t="s">
        <v>63</v>
      </c>
      <c r="AB16" s="25" t="s">
        <v>63</v>
      </c>
      <c r="AC16" s="25" t="s">
        <v>63</v>
      </c>
      <c r="AD16" s="25" t="s">
        <v>63</v>
      </c>
      <c r="AE16" s="25"/>
      <c r="AF16" s="1"/>
      <c r="AG16" s="1"/>
      <c r="AH16" s="7">
        <f t="shared" ca="1" si="0"/>
        <v>0</v>
      </c>
    </row>
    <row r="17" spans="2:34" ht="30" customHeight="1" x14ac:dyDescent="0.2">
      <c r="B17" t="str">
        <f>Werknemersnamen!B14</f>
        <v>Moualdine Ali</v>
      </c>
      <c r="C17" s="25" t="s">
        <v>63</v>
      </c>
      <c r="D17" s="25" t="s">
        <v>72</v>
      </c>
      <c r="E17" s="25" t="s">
        <v>63</v>
      </c>
      <c r="F17" s="25" t="s">
        <v>63</v>
      </c>
      <c r="G17" s="25" t="s">
        <v>63</v>
      </c>
      <c r="H17" s="25" t="s">
        <v>63</v>
      </c>
      <c r="I17" s="25" t="s">
        <v>63</v>
      </c>
      <c r="J17" s="25" t="s">
        <v>63</v>
      </c>
      <c r="K17" s="25" t="s">
        <v>72</v>
      </c>
      <c r="L17" s="25" t="s">
        <v>63</v>
      </c>
      <c r="M17" s="25" t="s">
        <v>63</v>
      </c>
      <c r="N17" s="25" t="s">
        <v>63</v>
      </c>
      <c r="O17" s="25" t="s">
        <v>63</v>
      </c>
      <c r="P17" s="25" t="s">
        <v>63</v>
      </c>
      <c r="Q17" s="25" t="s">
        <v>63</v>
      </c>
      <c r="R17" s="25" t="s">
        <v>72</v>
      </c>
      <c r="S17" s="25" t="s">
        <v>63</v>
      </c>
      <c r="T17" s="25" t="s">
        <v>63</v>
      </c>
      <c r="U17" s="25" t="s">
        <v>63</v>
      </c>
      <c r="V17" s="25" t="s">
        <v>63</v>
      </c>
      <c r="W17" s="25" t="s">
        <v>63</v>
      </c>
      <c r="X17" s="25" t="s">
        <v>63</v>
      </c>
      <c r="Y17" s="25" t="s">
        <v>72</v>
      </c>
      <c r="Z17" s="25" t="s">
        <v>63</v>
      </c>
      <c r="AA17" s="25" t="s">
        <v>63</v>
      </c>
      <c r="AB17" s="25" t="s">
        <v>63</v>
      </c>
      <c r="AC17" s="25" t="s">
        <v>63</v>
      </c>
      <c r="AD17" s="25" t="s">
        <v>63</v>
      </c>
      <c r="AE17" s="25"/>
      <c r="AF17" s="1"/>
      <c r="AG17" s="1"/>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B19" s="16"/>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2:34" ht="30" customHeight="1" x14ac:dyDescent="0.2">
      <c r="B20" t="s">
        <v>82</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7:AG18">
    <cfRule type="expression" priority="1" stopIfTrue="1">
      <formula>C7=""</formula>
    </cfRule>
    <cfRule type="expression" dxfId="726" priority="2" stopIfTrue="1">
      <formula>C7=KeyCustom2</formula>
    </cfRule>
    <cfRule type="expression" dxfId="725" priority="3" stopIfTrue="1">
      <formula>C7=KeyCustom1</formula>
    </cfRule>
    <cfRule type="expression" dxfId="724" priority="4" stopIfTrue="1">
      <formula>C7=KeySick</formula>
    </cfRule>
    <cfRule type="expression" dxfId="723" priority="5" stopIfTrue="1">
      <formula>C7=KeyPersonal</formula>
    </cfRule>
    <cfRule type="expression" dxfId="722"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{0A4B71B6-B7EE-BD41-93DE-BEC618593AFD}</x14:id>
        </ext>
      </extLst>
    </cfRule>
  </conditionalFormatting>
  <dataValidations xWindow="232" yWindow="365" count="14">
    <dataValidation allowBlank="1" showInputMessage="1" showErrorMessage="1" prompt="Houd de afwezigheid in februari in dit werkblad bij" sqref="A1" xr:uid="{00000000-0002-0000-0100-000001000000}"/>
    <dataValidation allowBlank="1" showInputMessage="1" showErrorMessage="1" prompt="De titel wordt automatisch bijgewerkt in deze cel. Als u de titel wilt wijzigen, werk B1 in het januari-werkblad bij" sqref="B1" xr:uid="{00000000-0002-0000-0100-000003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876FAB2A-4C05-264F-80D3-BA1C678D50D0}"/>
    <dataValidation allowBlank="1" showInputMessage="1" showErrorMessage="1" prompt="Deze rij definieert de sleutels die worden gebruikt in de tabel: cel C2 is Vakantie, G2 is Persoonlijk en K2 is Ziekteverlof. De cellen N2 en R2 kunnen worden aangepast" sqref="B2" xr:uid="{00000000-0002-0000-0100-000006000000}"/>
    <dataValidation allowBlank="1" showInputMessage="1" showErrorMessage="1" prompt="Voer links een label in om de aangepaste sleutel te beschrijven" sqref="O2:Q2 S2:U2" xr:uid="{00000000-0002-0000-0100-000007000000}"/>
    <dataValidation allowBlank="1" showInputMessage="1" showErrorMessage="1" prompt="Voer een letter in en pas rechts het label aan om een ander sleutelitem toe te voegen" sqref="N2 R2" xr:uid="{00000000-0002-0000-0100-000008000000}"/>
    <dataValidation allowBlank="1" showInputMessage="1" showErrorMessage="1" prompt="De letter &quot;Z&quot; geeft afwezigheid vanwege ziekte aan" sqref="K2" xr:uid="{00000000-0002-0000-0100-000009000000}"/>
    <dataValidation allowBlank="1" showInputMessage="1" showErrorMessage="1" prompt="De letter &quot;P&quot; geeft afwezigheid vanwege persoonlijke redenen aan" sqref="G2" xr:uid="{00000000-0002-0000-0100-00000A000000}"/>
    <dataValidation allowBlank="1" showInputMessage="1" showErrorMessage="1" prompt="De letter &quot;V&quot; geeft afwezigheid vanwege vakantie aan" sqref="C2" xr:uid="{00000000-0002-0000-0100-00000B000000}"/>
    <dataValidation allowBlank="1" showInputMessage="1" showErrorMessage="1" prompt="De dagen van de maand in deze rij worden automatisch gegenereerd. Voer voor elke dag van de maand in elke kolom het verzuim en het type verzuim van een werknemer in. Leeg betekent geen verzuim" sqref="C6" xr:uid="{DB4676BA-B6C2-F04A-BD51-916B788ABA90}"/>
    <dataValidation allowBlank="1" showInputMessage="1" showErrorMessage="1" prompt="Maand van dit verzuimschema. Werk het jaar bij in cel AH4. Houd de totalen bij per maand in de laatste cel van de tabel. Namen van werknemers invoeren in tabelkolom B" sqref="B4" xr:uid="{8D99989A-6E06-754A-828D-CAA627D4A815}"/>
    <dataValidation allowBlank="1" showInputMessage="1" showErrorMessage="1" prompt="Berekent automatisch het totaal aantal dagen dat een werknemer in deze maand niet afwezig was" sqref="AH6" xr:uid="{64AB382F-319B-BF4F-A298-A016D4937C26}"/>
    <dataValidation allowBlank="1" showInputMessage="1" showErrorMessage="1" prompt="Weekdagen in deze rij worden automatisch bijgewerkt voor de maand, overeenkomstig het jaar dat is ingevoerd in AH4. Elke dag van de maand is een kolom om het verzuim en type verzuim van een werknemer te noteren" sqref="C5" xr:uid="{2A2B92A0-1B9F-5D48-A0E1-14A1CA35B9F3}"/>
    <dataValidation allowBlank="1" showInputMessage="1" showErrorMessage="1" prompt="Voer het jaar in deze cel in" sqref="AH4" xr:uid="{B9FFE189-F9BA-2F49-9CAE-972BB98FA238}"/>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A4B71B6-B7EE-BD41-93DE-BEC618593AFD}">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3">
    <tabColor theme="2" tint="-0.499984740745262"/>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45</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74</v>
      </c>
      <c r="D5" s="1" t="s">
        <v>75</v>
      </c>
      <c r="E5" s="1" t="s">
        <v>76</v>
      </c>
      <c r="F5" s="1" t="s">
        <v>77</v>
      </c>
      <c r="G5" s="1" t="s">
        <v>78</v>
      </c>
      <c r="H5" s="1" t="s">
        <v>79</v>
      </c>
      <c r="I5" s="1" t="s">
        <v>73</v>
      </c>
      <c r="J5" s="1" t="s">
        <v>74</v>
      </c>
      <c r="K5" s="1" t="s">
        <v>75</v>
      </c>
      <c r="L5" s="1" t="s">
        <v>76</v>
      </c>
      <c r="M5" s="1" t="s">
        <v>77</v>
      </c>
      <c r="N5" s="1" t="s">
        <v>78</v>
      </c>
      <c r="O5" s="1" t="s">
        <v>79</v>
      </c>
      <c r="P5" s="1" t="s">
        <v>73</v>
      </c>
      <c r="Q5" s="1" t="s">
        <v>74</v>
      </c>
      <c r="R5" s="1" t="s">
        <v>75</v>
      </c>
      <c r="S5" s="1" t="s">
        <v>76</v>
      </c>
      <c r="T5" s="1" t="s">
        <v>77</v>
      </c>
      <c r="U5" s="1" t="s">
        <v>78</v>
      </c>
      <c r="V5" s="1" t="s">
        <v>79</v>
      </c>
      <c r="W5" s="1" t="s">
        <v>73</v>
      </c>
      <c r="X5" s="1" t="s">
        <v>74</v>
      </c>
      <c r="Y5" s="1" t="s">
        <v>75</v>
      </c>
      <c r="Z5" s="1" t="s">
        <v>76</v>
      </c>
      <c r="AA5" s="1" t="s">
        <v>77</v>
      </c>
      <c r="AB5" s="1" t="s">
        <v>78</v>
      </c>
      <c r="AC5" s="1" t="s">
        <v>79</v>
      </c>
      <c r="AD5" s="1" t="s">
        <v>73</v>
      </c>
      <c r="AE5" s="1" t="s">
        <v>74</v>
      </c>
      <c r="AF5" s="1" t="s">
        <v>75</v>
      </c>
      <c r="AG5" s="1" t="s">
        <v>76</v>
      </c>
      <c r="AH5" s="8"/>
    </row>
    <row r="6" spans="2: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2:34" ht="30" customHeight="1" x14ac:dyDescent="0.2">
      <c r="B7" t="str">
        <f>Werknemersnamen!B4</f>
        <v>Biragoye Isaac</v>
      </c>
      <c r="C7" s="25" t="s">
        <v>63</v>
      </c>
      <c r="D7" s="25" t="s">
        <v>72</v>
      </c>
      <c r="E7" s="25" t="s">
        <v>63</v>
      </c>
      <c r="F7" s="25" t="s">
        <v>63</v>
      </c>
      <c r="G7" s="26" t="s">
        <v>63</v>
      </c>
      <c r="H7" s="25" t="s">
        <v>63</v>
      </c>
      <c r="I7" s="25" t="s">
        <v>63</v>
      </c>
      <c r="J7" s="25" t="s">
        <v>63</v>
      </c>
      <c r="K7" s="25" t="s">
        <v>72</v>
      </c>
      <c r="L7" s="25" t="s">
        <v>63</v>
      </c>
      <c r="M7" s="25" t="s">
        <v>63</v>
      </c>
      <c r="N7" s="26" t="s">
        <v>63</v>
      </c>
      <c r="O7" s="25" t="s">
        <v>63</v>
      </c>
      <c r="P7" s="25" t="s">
        <v>63</v>
      </c>
      <c r="Q7" s="25" t="s">
        <v>63</v>
      </c>
      <c r="R7" s="25" t="s">
        <v>72</v>
      </c>
      <c r="S7" s="25" t="s">
        <v>63</v>
      </c>
      <c r="T7" s="25" t="s">
        <v>63</v>
      </c>
      <c r="U7" s="26" t="s">
        <v>63</v>
      </c>
      <c r="V7" s="25" t="s">
        <v>63</v>
      </c>
      <c r="W7" s="25" t="s">
        <v>63</v>
      </c>
      <c r="X7" s="25" t="s">
        <v>63</v>
      </c>
      <c r="Y7" s="25" t="s">
        <v>72</v>
      </c>
      <c r="Z7" s="25" t="s">
        <v>63</v>
      </c>
      <c r="AA7" s="25" t="s">
        <v>63</v>
      </c>
      <c r="AB7" s="26" t="s">
        <v>63</v>
      </c>
      <c r="AC7" s="25" t="s">
        <v>63</v>
      </c>
      <c r="AD7" s="25" t="s">
        <v>63</v>
      </c>
      <c r="AE7" s="25" t="s">
        <v>63</v>
      </c>
      <c r="AF7" s="25" t="s">
        <v>72</v>
      </c>
      <c r="AG7" s="25" t="s">
        <v>63</v>
      </c>
      <c r="AH7" s="7">
        <f t="shared" ref="AH7:AH19" ca="1" si="0">SUM($C$19:$AH$19)</f>
        <v>0</v>
      </c>
    </row>
    <row r="8" spans="2:34" ht="30" customHeight="1" x14ac:dyDescent="0.2">
      <c r="B8" t="str">
        <f>Werknemersnamen!B5</f>
        <v>Cinar Rafet</v>
      </c>
      <c r="C8" s="25" t="s">
        <v>63</v>
      </c>
      <c r="D8" s="25" t="s">
        <v>72</v>
      </c>
      <c r="E8" s="25" t="s">
        <v>63</v>
      </c>
      <c r="F8" s="25" t="s">
        <v>63</v>
      </c>
      <c r="G8" s="26" t="s">
        <v>63</v>
      </c>
      <c r="H8" s="25" t="s">
        <v>63</v>
      </c>
      <c r="I8" s="25" t="s">
        <v>63</v>
      </c>
      <c r="J8" s="25" t="s">
        <v>63</v>
      </c>
      <c r="K8" s="25" t="s">
        <v>72</v>
      </c>
      <c r="L8" s="25" t="s">
        <v>63</v>
      </c>
      <c r="M8" s="25" t="s">
        <v>63</v>
      </c>
      <c r="N8" s="26" t="s">
        <v>63</v>
      </c>
      <c r="O8" s="25" t="s">
        <v>63</v>
      </c>
      <c r="P8" s="25" t="s">
        <v>63</v>
      </c>
      <c r="Q8" s="25" t="s">
        <v>63</v>
      </c>
      <c r="R8" s="25" t="s">
        <v>72</v>
      </c>
      <c r="S8" s="25" t="s">
        <v>63</v>
      </c>
      <c r="T8" s="25" t="s">
        <v>63</v>
      </c>
      <c r="U8" s="26" t="s">
        <v>63</v>
      </c>
      <c r="V8" s="25" t="s">
        <v>63</v>
      </c>
      <c r="W8" s="25" t="s">
        <v>63</v>
      </c>
      <c r="X8" s="25" t="s">
        <v>63</v>
      </c>
      <c r="Y8" s="25" t="s">
        <v>72</v>
      </c>
      <c r="Z8" s="25" t="s">
        <v>63</v>
      </c>
      <c r="AA8" s="25" t="s">
        <v>63</v>
      </c>
      <c r="AB8" s="26" t="s">
        <v>63</v>
      </c>
      <c r="AC8" s="25" t="s">
        <v>63</v>
      </c>
      <c r="AD8" s="25" t="s">
        <v>63</v>
      </c>
      <c r="AE8" s="25" t="s">
        <v>63</v>
      </c>
      <c r="AF8" s="25" t="s">
        <v>72</v>
      </c>
      <c r="AG8" s="25" t="s">
        <v>63</v>
      </c>
      <c r="AH8" s="7">
        <f t="shared" ca="1" si="0"/>
        <v>0</v>
      </c>
    </row>
    <row r="9" spans="2:34" ht="30" customHeight="1" x14ac:dyDescent="0.2">
      <c r="B9" t="str">
        <f>Werknemersnamen!B6</f>
        <v>Cygora Lukasz Jan</v>
      </c>
      <c r="C9" s="25" t="s">
        <v>63</v>
      </c>
      <c r="D9" s="25" t="s">
        <v>72</v>
      </c>
      <c r="E9" s="25" t="s">
        <v>63</v>
      </c>
      <c r="F9" s="25" t="s">
        <v>63</v>
      </c>
      <c r="G9" s="26" t="s">
        <v>63</v>
      </c>
      <c r="H9" s="25" t="s">
        <v>63</v>
      </c>
      <c r="I9" s="25" t="s">
        <v>63</v>
      </c>
      <c r="J9" s="25" t="s">
        <v>63</v>
      </c>
      <c r="K9" s="25" t="s">
        <v>72</v>
      </c>
      <c r="L9" s="25" t="s">
        <v>63</v>
      </c>
      <c r="M9" s="25" t="s">
        <v>63</v>
      </c>
      <c r="N9" s="26" t="s">
        <v>63</v>
      </c>
      <c r="O9" s="25" t="s">
        <v>63</v>
      </c>
      <c r="P9" s="25" t="s">
        <v>63</v>
      </c>
      <c r="Q9" s="25" t="s">
        <v>63</v>
      </c>
      <c r="R9" s="25" t="s">
        <v>72</v>
      </c>
      <c r="S9" s="25" t="s">
        <v>63</v>
      </c>
      <c r="T9" s="25" t="s">
        <v>63</v>
      </c>
      <c r="U9" s="26" t="s">
        <v>63</v>
      </c>
      <c r="V9" s="25" t="s">
        <v>63</v>
      </c>
      <c r="W9" s="25" t="s">
        <v>63</v>
      </c>
      <c r="X9" s="25" t="s">
        <v>63</v>
      </c>
      <c r="Y9" s="25" t="s">
        <v>72</v>
      </c>
      <c r="Z9" s="25" t="s">
        <v>63</v>
      </c>
      <c r="AA9" s="25" t="s">
        <v>63</v>
      </c>
      <c r="AB9" s="26" t="s">
        <v>63</v>
      </c>
      <c r="AC9" s="25" t="s">
        <v>63</v>
      </c>
      <c r="AD9" s="25" t="s">
        <v>63</v>
      </c>
      <c r="AE9" s="25" t="s">
        <v>63</v>
      </c>
      <c r="AF9" s="25" t="s">
        <v>72</v>
      </c>
      <c r="AG9" s="25" t="s">
        <v>63</v>
      </c>
      <c r="AH9" s="7">
        <f t="shared" ca="1" si="0"/>
        <v>0</v>
      </c>
    </row>
    <row r="10" spans="2:34" ht="30" customHeight="1" x14ac:dyDescent="0.2">
      <c r="B10" t="str">
        <f>Werknemersnamen!B7</f>
        <v>El Karmoudi Taufik</v>
      </c>
      <c r="C10" s="25" t="s">
        <v>63</v>
      </c>
      <c r="D10" s="25" t="s">
        <v>72</v>
      </c>
      <c r="E10" s="25" t="s">
        <v>63</v>
      </c>
      <c r="F10" s="25" t="s">
        <v>63</v>
      </c>
      <c r="G10" s="26" t="s">
        <v>63</v>
      </c>
      <c r="H10" s="25" t="s">
        <v>63</v>
      </c>
      <c r="I10" s="25" t="s">
        <v>63</v>
      </c>
      <c r="J10" s="25" t="s">
        <v>63</v>
      </c>
      <c r="K10" s="25" t="s">
        <v>72</v>
      </c>
      <c r="L10" s="25" t="s">
        <v>63</v>
      </c>
      <c r="M10" s="25" t="s">
        <v>63</v>
      </c>
      <c r="N10" s="26" t="s">
        <v>63</v>
      </c>
      <c r="O10" s="25" t="s">
        <v>63</v>
      </c>
      <c r="P10" s="25" t="s">
        <v>63</v>
      </c>
      <c r="Q10" s="25" t="s">
        <v>63</v>
      </c>
      <c r="R10" s="25" t="s">
        <v>72</v>
      </c>
      <c r="S10" s="25" t="s">
        <v>63</v>
      </c>
      <c r="T10" s="25" t="s">
        <v>63</v>
      </c>
      <c r="U10" s="26" t="s">
        <v>63</v>
      </c>
      <c r="V10" s="25" t="s">
        <v>63</v>
      </c>
      <c r="W10" s="25" t="s">
        <v>63</v>
      </c>
      <c r="X10" s="25" t="s">
        <v>63</v>
      </c>
      <c r="Y10" s="25" t="s">
        <v>72</v>
      </c>
      <c r="Z10" s="25" t="s">
        <v>63</v>
      </c>
      <c r="AA10" s="25" t="s">
        <v>63</v>
      </c>
      <c r="AB10" s="26" t="s">
        <v>63</v>
      </c>
      <c r="AC10" s="25" t="s">
        <v>63</v>
      </c>
      <c r="AD10" s="25" t="s">
        <v>63</v>
      </c>
      <c r="AE10" s="25" t="s">
        <v>63</v>
      </c>
      <c r="AF10" s="25" t="s">
        <v>72</v>
      </c>
      <c r="AG10" s="25" t="s">
        <v>63</v>
      </c>
      <c r="AH10" s="7">
        <f t="shared" ca="1" si="0"/>
        <v>0</v>
      </c>
    </row>
    <row r="11" spans="2:34" ht="30" customHeight="1" x14ac:dyDescent="0.2">
      <c r="B11" t="str">
        <f>Werknemersnamen!B8</f>
        <v>El Maazouzi Abdelilah</v>
      </c>
      <c r="C11" s="25" t="s">
        <v>63</v>
      </c>
      <c r="D11" s="25" t="s">
        <v>72</v>
      </c>
      <c r="E11" s="25" t="s">
        <v>63</v>
      </c>
      <c r="F11" s="25" t="s">
        <v>63</v>
      </c>
      <c r="G11" s="26" t="s">
        <v>63</v>
      </c>
      <c r="H11" s="25" t="s">
        <v>63</v>
      </c>
      <c r="I11" s="25" t="s">
        <v>63</v>
      </c>
      <c r="J11" s="25" t="s">
        <v>63</v>
      </c>
      <c r="K11" s="25" t="s">
        <v>72</v>
      </c>
      <c r="L11" s="25" t="s">
        <v>63</v>
      </c>
      <c r="M11" s="25" t="s">
        <v>63</v>
      </c>
      <c r="N11" s="26" t="s">
        <v>63</v>
      </c>
      <c r="O11" s="25" t="s">
        <v>63</v>
      </c>
      <c r="P11" s="25" t="s">
        <v>63</v>
      </c>
      <c r="Q11" s="25" t="s">
        <v>63</v>
      </c>
      <c r="R11" s="25" t="s">
        <v>72</v>
      </c>
      <c r="S11" s="25" t="s">
        <v>63</v>
      </c>
      <c r="T11" s="25" t="s">
        <v>63</v>
      </c>
      <c r="U11" s="26" t="s">
        <v>63</v>
      </c>
      <c r="V11" s="25" t="s">
        <v>63</v>
      </c>
      <c r="W11" s="25" t="s">
        <v>63</v>
      </c>
      <c r="X11" s="25" t="s">
        <v>63</v>
      </c>
      <c r="Y11" s="25" t="s">
        <v>72</v>
      </c>
      <c r="Z11" s="25" t="s">
        <v>63</v>
      </c>
      <c r="AA11" s="25" t="s">
        <v>63</v>
      </c>
      <c r="AB11" s="26" t="s">
        <v>63</v>
      </c>
      <c r="AC11" s="25" t="s">
        <v>63</v>
      </c>
      <c r="AD11" s="25" t="s">
        <v>63</v>
      </c>
      <c r="AE11" s="25" t="s">
        <v>63</v>
      </c>
      <c r="AF11" s="25" t="s">
        <v>72</v>
      </c>
      <c r="AG11" s="25" t="s">
        <v>63</v>
      </c>
      <c r="AH11" s="7">
        <f t="shared" ca="1" si="0"/>
        <v>0</v>
      </c>
    </row>
    <row r="12" spans="2:34" ht="30" customHeight="1" x14ac:dyDescent="0.2">
      <c r="B12" t="str">
        <f>Werknemersnamen!B9</f>
        <v>Gultekin Muhammed A</v>
      </c>
      <c r="C12" s="25" t="s">
        <v>63</v>
      </c>
      <c r="D12" s="25" t="s">
        <v>72</v>
      </c>
      <c r="E12" s="25" t="s">
        <v>63</v>
      </c>
      <c r="F12" s="25" t="s">
        <v>63</v>
      </c>
      <c r="G12" s="26" t="s">
        <v>63</v>
      </c>
      <c r="H12" s="25" t="s">
        <v>63</v>
      </c>
      <c r="I12" s="25" t="s">
        <v>63</v>
      </c>
      <c r="J12" s="25" t="s">
        <v>63</v>
      </c>
      <c r="K12" s="25" t="s">
        <v>72</v>
      </c>
      <c r="L12" s="25" t="s">
        <v>63</v>
      </c>
      <c r="M12" s="25" t="s">
        <v>63</v>
      </c>
      <c r="N12" s="26" t="s">
        <v>63</v>
      </c>
      <c r="O12" s="25" t="s">
        <v>63</v>
      </c>
      <c r="P12" s="25" t="s">
        <v>63</v>
      </c>
      <c r="Q12" s="25" t="s">
        <v>63</v>
      </c>
      <c r="R12" s="25" t="s">
        <v>72</v>
      </c>
      <c r="S12" s="25" t="s">
        <v>63</v>
      </c>
      <c r="T12" s="25" t="s">
        <v>63</v>
      </c>
      <c r="U12" s="26" t="s">
        <v>63</v>
      </c>
      <c r="V12" s="25" t="s">
        <v>63</v>
      </c>
      <c r="W12" s="25" t="s">
        <v>63</v>
      </c>
      <c r="X12" s="25" t="s">
        <v>63</v>
      </c>
      <c r="Y12" s="25" t="s">
        <v>72</v>
      </c>
      <c r="Z12" s="25" t="s">
        <v>63</v>
      </c>
      <c r="AA12" s="25" t="s">
        <v>63</v>
      </c>
      <c r="AB12" s="26" t="s">
        <v>63</v>
      </c>
      <c r="AC12" s="25" t="s">
        <v>63</v>
      </c>
      <c r="AD12" s="25" t="s">
        <v>63</v>
      </c>
      <c r="AE12" s="25" t="s">
        <v>63</v>
      </c>
      <c r="AF12" s="25" t="s">
        <v>72</v>
      </c>
      <c r="AG12" s="25" t="s">
        <v>63</v>
      </c>
      <c r="AH12" s="7">
        <f t="shared" ca="1" si="0"/>
        <v>0</v>
      </c>
    </row>
    <row r="13" spans="2:34" ht="30" customHeight="1" x14ac:dyDescent="0.2">
      <c r="B13" t="str">
        <f>Werknemersnamen!B10</f>
        <v>Gultekin Muhammed E</v>
      </c>
      <c r="C13" s="25" t="s">
        <v>63</v>
      </c>
      <c r="D13" s="25" t="s">
        <v>72</v>
      </c>
      <c r="E13" s="25" t="s">
        <v>63</v>
      </c>
      <c r="F13" s="25" t="s">
        <v>63</v>
      </c>
      <c r="G13" s="26" t="s">
        <v>63</v>
      </c>
      <c r="H13" s="25" t="s">
        <v>63</v>
      </c>
      <c r="I13" s="25" t="s">
        <v>63</v>
      </c>
      <c r="J13" s="25" t="s">
        <v>63</v>
      </c>
      <c r="K13" s="25" t="s">
        <v>72</v>
      </c>
      <c r="L13" s="25" t="s">
        <v>63</v>
      </c>
      <c r="M13" s="25" t="s">
        <v>63</v>
      </c>
      <c r="N13" s="26" t="s">
        <v>63</v>
      </c>
      <c r="O13" s="25" t="s">
        <v>63</v>
      </c>
      <c r="P13" s="25" t="s">
        <v>63</v>
      </c>
      <c r="Q13" s="25" t="s">
        <v>63</v>
      </c>
      <c r="R13" s="25" t="s">
        <v>72</v>
      </c>
      <c r="S13" s="25" t="s">
        <v>63</v>
      </c>
      <c r="T13" s="25" t="s">
        <v>63</v>
      </c>
      <c r="U13" s="26" t="s">
        <v>63</v>
      </c>
      <c r="V13" s="25" t="s">
        <v>63</v>
      </c>
      <c r="W13" s="25" t="s">
        <v>63</v>
      </c>
      <c r="X13" s="25" t="s">
        <v>63</v>
      </c>
      <c r="Y13" s="25" t="s">
        <v>72</v>
      </c>
      <c r="Z13" s="25" t="s">
        <v>63</v>
      </c>
      <c r="AA13" s="25" t="s">
        <v>63</v>
      </c>
      <c r="AB13" s="26" t="s">
        <v>63</v>
      </c>
      <c r="AC13" s="25" t="s">
        <v>63</v>
      </c>
      <c r="AD13" s="25" t="s">
        <v>63</v>
      </c>
      <c r="AE13" s="25" t="s">
        <v>63</v>
      </c>
      <c r="AF13" s="25" t="s">
        <v>72</v>
      </c>
      <c r="AG13" s="25" t="s">
        <v>63</v>
      </c>
      <c r="AH13" s="7">
        <f t="shared" ca="1" si="0"/>
        <v>0</v>
      </c>
    </row>
    <row r="14" spans="2:34" ht="30" customHeight="1" x14ac:dyDescent="0.2">
      <c r="B14" t="str">
        <f>Werknemersnamen!B11</f>
        <v>Irakoze Patrick</v>
      </c>
      <c r="C14" s="25" t="s">
        <v>63</v>
      </c>
      <c r="D14" s="25" t="s">
        <v>72</v>
      </c>
      <c r="E14" s="25" t="s">
        <v>63</v>
      </c>
      <c r="F14" s="25" t="s">
        <v>63</v>
      </c>
      <c r="G14" s="26" t="s">
        <v>63</v>
      </c>
      <c r="H14" s="25" t="s">
        <v>63</v>
      </c>
      <c r="I14" s="25" t="s">
        <v>63</v>
      </c>
      <c r="J14" s="25" t="s">
        <v>63</v>
      </c>
      <c r="K14" s="25" t="s">
        <v>72</v>
      </c>
      <c r="L14" s="25" t="s">
        <v>63</v>
      </c>
      <c r="M14" s="25" t="s">
        <v>63</v>
      </c>
      <c r="N14" s="26" t="s">
        <v>63</v>
      </c>
      <c r="O14" s="25" t="s">
        <v>63</v>
      </c>
      <c r="P14" s="25" t="s">
        <v>63</v>
      </c>
      <c r="Q14" s="25" t="s">
        <v>63</v>
      </c>
      <c r="R14" s="25" t="s">
        <v>72</v>
      </c>
      <c r="S14" s="25" t="s">
        <v>63</v>
      </c>
      <c r="T14" s="25" t="s">
        <v>63</v>
      </c>
      <c r="U14" s="26" t="s">
        <v>63</v>
      </c>
      <c r="V14" s="25" t="s">
        <v>63</v>
      </c>
      <c r="W14" s="25" t="s">
        <v>63</v>
      </c>
      <c r="X14" s="25" t="s">
        <v>63</v>
      </c>
      <c r="Y14" s="25" t="s">
        <v>72</v>
      </c>
      <c r="Z14" s="25" t="s">
        <v>63</v>
      </c>
      <c r="AA14" s="25" t="s">
        <v>63</v>
      </c>
      <c r="AB14" s="26" t="s">
        <v>63</v>
      </c>
      <c r="AC14" s="25" t="s">
        <v>63</v>
      </c>
      <c r="AD14" s="25" t="s">
        <v>63</v>
      </c>
      <c r="AE14" s="25" t="s">
        <v>63</v>
      </c>
      <c r="AF14" s="25" t="s">
        <v>72</v>
      </c>
      <c r="AG14" s="25" t="s">
        <v>63</v>
      </c>
      <c r="AH14" s="7">
        <f t="shared" ca="1" si="0"/>
        <v>0</v>
      </c>
    </row>
    <row r="15" spans="2:34" ht="30" customHeight="1" x14ac:dyDescent="0.2">
      <c r="B15" t="str">
        <f>Werknemersnamen!B12</f>
        <v>Kacar Abdullah</v>
      </c>
      <c r="C15" s="25" t="s">
        <v>63</v>
      </c>
      <c r="D15" s="25" t="s">
        <v>72</v>
      </c>
      <c r="E15" s="25" t="s">
        <v>63</v>
      </c>
      <c r="F15" s="25" t="s">
        <v>63</v>
      </c>
      <c r="G15" s="26" t="s">
        <v>63</v>
      </c>
      <c r="H15" s="25" t="s">
        <v>63</v>
      </c>
      <c r="I15" s="25" t="s">
        <v>63</v>
      </c>
      <c r="J15" s="25" t="s">
        <v>63</v>
      </c>
      <c r="K15" s="25" t="s">
        <v>72</v>
      </c>
      <c r="L15" s="25" t="s">
        <v>63</v>
      </c>
      <c r="M15" s="25" t="s">
        <v>63</v>
      </c>
      <c r="N15" s="26" t="s">
        <v>63</v>
      </c>
      <c r="O15" s="25" t="s">
        <v>63</v>
      </c>
      <c r="P15" s="25" t="s">
        <v>63</v>
      </c>
      <c r="Q15" s="25" t="s">
        <v>63</v>
      </c>
      <c r="R15" s="25" t="s">
        <v>72</v>
      </c>
      <c r="S15" s="25" t="s">
        <v>63</v>
      </c>
      <c r="T15" s="25" t="s">
        <v>63</v>
      </c>
      <c r="U15" s="26" t="s">
        <v>63</v>
      </c>
      <c r="V15" s="25" t="s">
        <v>63</v>
      </c>
      <c r="W15" s="25" t="s">
        <v>63</v>
      </c>
      <c r="X15" s="25" t="s">
        <v>63</v>
      </c>
      <c r="Y15" s="25" t="s">
        <v>72</v>
      </c>
      <c r="Z15" s="25" t="s">
        <v>63</v>
      </c>
      <c r="AA15" s="25" t="s">
        <v>63</v>
      </c>
      <c r="AB15" s="26" t="s">
        <v>63</v>
      </c>
      <c r="AC15" s="25" t="s">
        <v>63</v>
      </c>
      <c r="AD15" s="25" t="s">
        <v>63</v>
      </c>
      <c r="AE15" s="25" t="s">
        <v>63</v>
      </c>
      <c r="AF15" s="25" t="s">
        <v>72</v>
      </c>
      <c r="AG15" s="25" t="s">
        <v>63</v>
      </c>
      <c r="AH15" s="7">
        <f t="shared" ca="1" si="0"/>
        <v>0</v>
      </c>
    </row>
    <row r="16" spans="2:34" ht="30" customHeight="1" x14ac:dyDescent="0.2">
      <c r="B16" t="str">
        <f>Werknemersnamen!B13</f>
        <v>Kefes Levent</v>
      </c>
      <c r="C16" s="25" t="s">
        <v>63</v>
      </c>
      <c r="D16" s="25" t="s">
        <v>72</v>
      </c>
      <c r="E16" s="25" t="s">
        <v>63</v>
      </c>
      <c r="F16" s="25" t="s">
        <v>63</v>
      </c>
      <c r="G16" s="26" t="s">
        <v>63</v>
      </c>
      <c r="H16" s="25" t="s">
        <v>63</v>
      </c>
      <c r="I16" s="25" t="s">
        <v>63</v>
      </c>
      <c r="J16" s="25" t="s">
        <v>63</v>
      </c>
      <c r="K16" s="25" t="s">
        <v>72</v>
      </c>
      <c r="L16" s="25" t="s">
        <v>63</v>
      </c>
      <c r="M16" s="25" t="s">
        <v>63</v>
      </c>
      <c r="N16" s="26" t="s">
        <v>63</v>
      </c>
      <c r="O16" s="25" t="s">
        <v>63</v>
      </c>
      <c r="P16" s="25" t="s">
        <v>63</v>
      </c>
      <c r="Q16" s="25" t="s">
        <v>63</v>
      </c>
      <c r="R16" s="25" t="s">
        <v>72</v>
      </c>
      <c r="S16" s="25" t="s">
        <v>63</v>
      </c>
      <c r="T16" s="25" t="s">
        <v>63</v>
      </c>
      <c r="U16" s="26" t="s">
        <v>63</v>
      </c>
      <c r="V16" s="25" t="s">
        <v>63</v>
      </c>
      <c r="W16" s="25" t="s">
        <v>63</v>
      </c>
      <c r="X16" s="25" t="s">
        <v>63</v>
      </c>
      <c r="Y16" s="25" t="s">
        <v>72</v>
      </c>
      <c r="Z16" s="25" t="s">
        <v>63</v>
      </c>
      <c r="AA16" s="25" t="s">
        <v>63</v>
      </c>
      <c r="AB16" s="26" t="s">
        <v>63</v>
      </c>
      <c r="AC16" s="25" t="s">
        <v>63</v>
      </c>
      <c r="AD16" s="25" t="s">
        <v>63</v>
      </c>
      <c r="AE16" s="25" t="s">
        <v>63</v>
      </c>
      <c r="AF16" s="25" t="s">
        <v>72</v>
      </c>
      <c r="AG16" s="25" t="s">
        <v>63</v>
      </c>
      <c r="AH16" s="7">
        <f t="shared" ca="1" si="0"/>
        <v>0</v>
      </c>
    </row>
    <row r="17" spans="2:34" ht="30" customHeight="1" x14ac:dyDescent="0.2">
      <c r="B17" t="str">
        <f>Werknemersnamen!B14</f>
        <v>Moualdine Ali</v>
      </c>
      <c r="C17" s="25" t="s">
        <v>63</v>
      </c>
      <c r="D17" s="25" t="s">
        <v>72</v>
      </c>
      <c r="E17" s="25" t="s">
        <v>63</v>
      </c>
      <c r="F17" s="25" t="s">
        <v>63</v>
      </c>
      <c r="G17" s="26" t="s">
        <v>63</v>
      </c>
      <c r="H17" s="25" t="s">
        <v>63</v>
      </c>
      <c r="I17" s="25" t="s">
        <v>63</v>
      </c>
      <c r="J17" s="25" t="s">
        <v>63</v>
      </c>
      <c r="K17" s="25" t="s">
        <v>72</v>
      </c>
      <c r="L17" s="25" t="s">
        <v>63</v>
      </c>
      <c r="M17" s="25" t="s">
        <v>63</v>
      </c>
      <c r="N17" s="26" t="s">
        <v>63</v>
      </c>
      <c r="O17" s="25" t="s">
        <v>63</v>
      </c>
      <c r="P17" s="25" t="s">
        <v>63</v>
      </c>
      <c r="Q17" s="25" t="s">
        <v>63</v>
      </c>
      <c r="R17" s="25" t="s">
        <v>72</v>
      </c>
      <c r="S17" s="25" t="s">
        <v>63</v>
      </c>
      <c r="T17" s="25" t="s">
        <v>63</v>
      </c>
      <c r="U17" s="26" t="s">
        <v>63</v>
      </c>
      <c r="V17" s="25" t="s">
        <v>63</v>
      </c>
      <c r="W17" s="25" t="s">
        <v>63</v>
      </c>
      <c r="X17" s="25" t="s">
        <v>63</v>
      </c>
      <c r="Y17" s="25" t="s">
        <v>72</v>
      </c>
      <c r="Z17" s="25" t="s">
        <v>63</v>
      </c>
      <c r="AA17" s="25" t="s">
        <v>63</v>
      </c>
      <c r="AB17" s="26" t="s">
        <v>63</v>
      </c>
      <c r="AC17" s="25" t="s">
        <v>63</v>
      </c>
      <c r="AD17" s="25" t="s">
        <v>63</v>
      </c>
      <c r="AE17" s="25" t="s">
        <v>63</v>
      </c>
      <c r="AF17" s="25" t="s">
        <v>72</v>
      </c>
      <c r="AG17" s="25" t="s">
        <v>63</v>
      </c>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B19">
        <f>Werknemersnamen!B16</f>
        <v>0</v>
      </c>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7">
        <f t="shared" ca="1" si="0"/>
        <v>0</v>
      </c>
    </row>
    <row r="20" spans="2:34" ht="30" customHeight="1" x14ac:dyDescent="0.2">
      <c r="B20" s="16" t="s">
        <v>83</v>
      </c>
      <c r="C20" s="9">
        <f>SUM($C$7:$C$19)</f>
        <v>0</v>
      </c>
      <c r="D20" s="9">
        <f>SUM($D$7:$D$19)</f>
        <v>0</v>
      </c>
      <c r="E20" s="9">
        <f>SUM($E$7:$E$19)</f>
        <v>0</v>
      </c>
      <c r="F20" s="9">
        <f>SUM($F$7:$F$19)</f>
        <v>0</v>
      </c>
      <c r="G20" s="9">
        <f>SUM($G$7:$G$19)</f>
        <v>0</v>
      </c>
      <c r="H20" s="9">
        <f>SUM($H$7:$H$19)</f>
        <v>0</v>
      </c>
      <c r="I20" s="9">
        <f>SUM($I$7:$I$19)</f>
        <v>0</v>
      </c>
      <c r="J20" s="9">
        <f>SUM($J$7:$J$19)</f>
        <v>0</v>
      </c>
      <c r="K20" s="9">
        <f>SUM($K$7:$K$19)</f>
        <v>0</v>
      </c>
      <c r="L20" s="9">
        <f>SUM($L$7:$L$19)</f>
        <v>0</v>
      </c>
      <c r="M20" s="9">
        <f>SUM($M$7:$M$19)</f>
        <v>0</v>
      </c>
      <c r="N20" s="9">
        <f>SUM($N$7:$N$19)</f>
        <v>0</v>
      </c>
      <c r="O20" s="9">
        <f>SUM($O$7:$O$19)</f>
        <v>0</v>
      </c>
      <c r="P20" s="9">
        <f>SUM($P$7:$P$19)</f>
        <v>0</v>
      </c>
      <c r="Q20" s="9">
        <f>SUM($Q$7:$Q$19)</f>
        <v>0</v>
      </c>
      <c r="R20" s="9">
        <f>SUM($R$7:$R$19)</f>
        <v>0</v>
      </c>
      <c r="S20" s="9">
        <f>SUM($S$7:$S$19)</f>
        <v>0</v>
      </c>
      <c r="T20" s="9">
        <f>SUM($T$7:$T$19)</f>
        <v>0</v>
      </c>
      <c r="U20" s="9">
        <f>SUM($U$7:$U$19)</f>
        <v>0</v>
      </c>
      <c r="V20" s="9">
        <f>SUM($V$7:$V$19)</f>
        <v>0</v>
      </c>
      <c r="W20" s="9">
        <f>SUM($W$7:$W$19)</f>
        <v>0</v>
      </c>
      <c r="X20" s="9">
        <f>SUM($X$7:$X$19)</f>
        <v>0</v>
      </c>
      <c r="Y20" s="9">
        <f>SUM($Y$7:$Y$19)</f>
        <v>0</v>
      </c>
      <c r="Z20" s="9">
        <f>SUM($Z$7:$Z$19)</f>
        <v>0</v>
      </c>
      <c r="AA20" s="9">
        <f>SUM($AA$7:$AA$19)</f>
        <v>0</v>
      </c>
      <c r="AB20" s="9">
        <f>SUM($AB$7:$AB$19)</f>
        <v>0</v>
      </c>
      <c r="AC20" s="9">
        <f>SUM($AC$7:$AC$19)</f>
        <v>0</v>
      </c>
      <c r="AD20" s="9">
        <f>SUM($AD$7:$AD$19)</f>
        <v>0</v>
      </c>
      <c r="AE20" s="9">
        <f>SUM($AE$7:$AE$19)</f>
        <v>0</v>
      </c>
      <c r="AF20" s="9">
        <f>SUM($AF$7:$AF$19)</f>
        <v>0</v>
      </c>
      <c r="AG20" s="9">
        <f>SUM($AG$7:$AG$19)</f>
        <v>0</v>
      </c>
      <c r="AH20" s="9">
        <f ca="1">SUM($AH$7:$AH$19)</f>
        <v>0</v>
      </c>
    </row>
  </sheetData>
  <mergeCells count="6">
    <mergeCell ref="C4:AG4"/>
    <mergeCell ref="D2:F2"/>
    <mergeCell ref="H2:J2"/>
    <mergeCell ref="L2:M2"/>
    <mergeCell ref="O2:Q2"/>
    <mergeCell ref="S2:U2"/>
  </mergeCells>
  <phoneticPr fontId="18" type="noConversion"/>
  <conditionalFormatting sqref="E19">
    <cfRule type="expression" priority="104" stopIfTrue="1">
      <formula>E19=""</formula>
    </cfRule>
    <cfRule type="expression" dxfId="652" priority="105" stopIfTrue="1">
      <formula>E19=KeyCustom2</formula>
    </cfRule>
    <cfRule type="expression" dxfId="651" priority="106" stopIfTrue="1">
      <formula>E19=KeyCustom1</formula>
    </cfRule>
    <cfRule type="expression" dxfId="650" priority="107" stopIfTrue="1">
      <formula>E19=KeySick</formula>
    </cfRule>
    <cfRule type="expression" dxfId="649" priority="108" stopIfTrue="1">
      <formula>E19=KeyPersonal</formula>
    </cfRule>
    <cfRule type="expression" dxfId="648" priority="109" stopIfTrue="1">
      <formula>E19=KeyVacation</formula>
    </cfRule>
  </conditionalFormatting>
  <conditionalFormatting sqref="F19:H19">
    <cfRule type="expression" priority="62" stopIfTrue="1">
      <formula>F19=""</formula>
    </cfRule>
    <cfRule type="expression" dxfId="647" priority="63" stopIfTrue="1">
      <formula>F19=KeyCustom2</formula>
    </cfRule>
    <cfRule type="expression" dxfId="646" priority="64" stopIfTrue="1">
      <formula>F19=KeyCustom1</formula>
    </cfRule>
    <cfRule type="expression" dxfId="645" priority="65" stopIfTrue="1">
      <formula>F19=KeySick</formula>
    </cfRule>
    <cfRule type="expression" dxfId="644" priority="66" stopIfTrue="1">
      <formula>F19=KeyPersonal</formula>
    </cfRule>
    <cfRule type="expression" dxfId="643" priority="67" stopIfTrue="1">
      <formula>F19=KeyVacation</formula>
    </cfRule>
  </conditionalFormatting>
  <conditionalFormatting sqref="I19:K19 C19:D19 Q19:R19">
    <cfRule type="expression" priority="200" stopIfTrue="1">
      <formula>C19=""</formula>
    </cfRule>
    <cfRule type="expression" dxfId="642" priority="201" stopIfTrue="1">
      <formula>C19=KeyCustom2</formula>
    </cfRule>
    <cfRule type="expression" dxfId="641" priority="202" stopIfTrue="1">
      <formula>C19=KeyCustom1</formula>
    </cfRule>
    <cfRule type="expression" dxfId="640" priority="203" stopIfTrue="1">
      <formula>C19=KeySick</formula>
    </cfRule>
    <cfRule type="expression" dxfId="639" priority="204" stopIfTrue="1">
      <formula>C19=KeyPersonal</formula>
    </cfRule>
    <cfRule type="expression" dxfId="638" priority="205" stopIfTrue="1">
      <formula>C19=KeyVacation</formula>
    </cfRule>
  </conditionalFormatting>
  <conditionalFormatting sqref="L19">
    <cfRule type="expression" priority="98" stopIfTrue="1">
      <formula>L19=""</formula>
    </cfRule>
    <cfRule type="expression" dxfId="637" priority="99" stopIfTrue="1">
      <formula>L19=KeyCustom2</formula>
    </cfRule>
    <cfRule type="expression" dxfId="636" priority="100" stopIfTrue="1">
      <formula>L19=KeyCustom1</formula>
    </cfRule>
    <cfRule type="expression" dxfId="635" priority="101" stopIfTrue="1">
      <formula>L19=KeySick</formula>
    </cfRule>
    <cfRule type="expression" dxfId="634" priority="102" stopIfTrue="1">
      <formula>L19=KeyPersonal</formula>
    </cfRule>
    <cfRule type="expression" dxfId="633" priority="103" stopIfTrue="1">
      <formula>L19=KeyVacation</formula>
    </cfRule>
  </conditionalFormatting>
  <conditionalFormatting sqref="M19:P19">
    <cfRule type="expression" priority="44" stopIfTrue="1">
      <formula>M19=""</formula>
    </cfRule>
    <cfRule type="expression" dxfId="632" priority="45" stopIfTrue="1">
      <formula>M19=KeyCustom2</formula>
    </cfRule>
    <cfRule type="expression" dxfId="631" priority="46" stopIfTrue="1">
      <formula>M19=KeyCustom1</formula>
    </cfRule>
    <cfRule type="expression" dxfId="630" priority="47" stopIfTrue="1">
      <formula>M19=KeySick</formula>
    </cfRule>
    <cfRule type="expression" dxfId="629" priority="48" stopIfTrue="1">
      <formula>M19=KeyPersonal</formula>
    </cfRule>
    <cfRule type="expression" dxfId="628" priority="49" stopIfTrue="1">
      <formula>M19=KeyVacation</formula>
    </cfRule>
  </conditionalFormatting>
  <conditionalFormatting sqref="S19">
    <cfRule type="expression" priority="92" stopIfTrue="1">
      <formula>S19=""</formula>
    </cfRule>
    <cfRule type="expression" dxfId="627" priority="93" stopIfTrue="1">
      <formula>S19=KeyCustom2</formula>
    </cfRule>
    <cfRule type="expression" dxfId="626" priority="94" stopIfTrue="1">
      <formula>S19=KeyCustom1</formula>
    </cfRule>
    <cfRule type="expression" dxfId="625" priority="95" stopIfTrue="1">
      <formula>S19=KeySick</formula>
    </cfRule>
    <cfRule type="expression" dxfId="624" priority="96" stopIfTrue="1">
      <formula>S19=KeyPersonal</formula>
    </cfRule>
    <cfRule type="expression" dxfId="623" priority="97" stopIfTrue="1">
      <formula>S19=KeyVacation</formula>
    </cfRule>
  </conditionalFormatting>
  <conditionalFormatting sqref="T19:Y19">
    <cfRule type="expression" priority="26" stopIfTrue="1">
      <formula>T19=""</formula>
    </cfRule>
    <cfRule type="expression" dxfId="622" priority="27" stopIfTrue="1">
      <formula>T19=KeyCustom2</formula>
    </cfRule>
    <cfRule type="expression" dxfId="621" priority="28" stopIfTrue="1">
      <formula>T19=KeyCustom1</formula>
    </cfRule>
    <cfRule type="expression" dxfId="620" priority="29" stopIfTrue="1">
      <formula>T19=KeySick</formula>
    </cfRule>
    <cfRule type="expression" dxfId="619" priority="30" stopIfTrue="1">
      <formula>T19=KeyPersonal</formula>
    </cfRule>
    <cfRule type="expression" dxfId="618" priority="31" stopIfTrue="1">
      <formula>T19=KeyVacation</formula>
    </cfRule>
  </conditionalFormatting>
  <conditionalFormatting sqref="Z19">
    <cfRule type="expression" priority="86" stopIfTrue="1">
      <formula>Z19=""</formula>
    </cfRule>
    <cfRule type="expression" dxfId="617" priority="87" stopIfTrue="1">
      <formula>Z19=KeyCustom2</formula>
    </cfRule>
    <cfRule type="expression" dxfId="616" priority="88" stopIfTrue="1">
      <formula>Z19=KeyCustom1</formula>
    </cfRule>
    <cfRule type="expression" dxfId="615" priority="89" stopIfTrue="1">
      <formula>Z19=KeySick</formula>
    </cfRule>
    <cfRule type="expression" dxfId="614" priority="90" stopIfTrue="1">
      <formula>Z19=KeyPersonal</formula>
    </cfRule>
    <cfRule type="expression" dxfId="613" priority="91" stopIfTrue="1">
      <formula>Z19=KeyVacation</formula>
    </cfRule>
  </conditionalFormatting>
  <conditionalFormatting sqref="AA19:AF19">
    <cfRule type="expression" priority="8" stopIfTrue="1">
      <formula>AA19=""</formula>
    </cfRule>
    <cfRule type="expression" dxfId="612" priority="9" stopIfTrue="1">
      <formula>AA19=KeyCustom2</formula>
    </cfRule>
    <cfRule type="expression" dxfId="611" priority="10" stopIfTrue="1">
      <formula>AA19=KeyCustom1</formula>
    </cfRule>
    <cfRule type="expression" dxfId="610" priority="11" stopIfTrue="1">
      <formula>AA19=KeySick</formula>
    </cfRule>
    <cfRule type="expression" dxfId="609" priority="12" stopIfTrue="1">
      <formula>AA19=KeyPersonal</formula>
    </cfRule>
    <cfRule type="expression" dxfId="608" priority="13" stopIfTrue="1">
      <formula>AA19=KeyVacation</formula>
    </cfRule>
  </conditionalFormatting>
  <conditionalFormatting sqref="AG19">
    <cfRule type="expression" priority="80" stopIfTrue="1">
      <formula>AG19=""</formula>
    </cfRule>
    <cfRule type="expression" dxfId="607" priority="81" stopIfTrue="1">
      <formula>AG19=KeyCustom2</formula>
    </cfRule>
    <cfRule type="expression" dxfId="606" priority="82" stopIfTrue="1">
      <formula>AG19=KeyCustom1</formula>
    </cfRule>
    <cfRule type="expression" dxfId="605" priority="83" stopIfTrue="1">
      <formula>AG19=KeySick</formula>
    </cfRule>
    <cfRule type="expression" dxfId="604" priority="84" stopIfTrue="1">
      <formula>AG19=KeyPersonal</formula>
    </cfRule>
    <cfRule type="expression" dxfId="603" priority="85" stopIfTrue="1">
      <formula>AG19=KeyVacation</formula>
    </cfRule>
  </conditionalFormatting>
  <conditionalFormatting sqref="AH19">
    <cfRule type="dataBar" priority="267">
      <dataBar>
        <cfvo type="num" val="0"/>
        <cfvo type="num" val="31"/>
        <color theme="2" tint="-0.249977111117893"/>
      </dataBar>
      <extLst>
        <ext xmlns:x14="http://schemas.microsoft.com/office/spreadsheetml/2009/9/main" uri="{B025F937-C7B1-47D3-B67F-A62EFF666E3E}">
          <x14:id>{17421044-1633-4989-B988-DD85E5D37AF2}</x14:id>
        </ext>
      </extLst>
    </cfRule>
  </conditionalFormatting>
  <conditionalFormatting sqref="C7:AG18">
    <cfRule type="expression" priority="1" stopIfTrue="1">
      <formula>C7=""</formula>
    </cfRule>
    <cfRule type="expression" dxfId="602" priority="2" stopIfTrue="1">
      <formula>C7=KeyCustom2</formula>
    </cfRule>
    <cfRule type="expression" dxfId="601" priority="3" stopIfTrue="1">
      <formula>C7=KeyCustom1</formula>
    </cfRule>
    <cfRule type="expression" dxfId="600" priority="4" stopIfTrue="1">
      <formula>C7=KeySick</formula>
    </cfRule>
    <cfRule type="expression" dxfId="599" priority="5" stopIfTrue="1">
      <formula>C7=KeyPersonal</formula>
    </cfRule>
    <cfRule type="expression" dxfId="598"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{9642F928-8680-C74E-BA54-E50944F433A0}</x14:id>
        </ext>
      </extLst>
    </cfRule>
  </conditionalFormatting>
  <dataValidations count="14">
    <dataValidation allowBlank="1" showInputMessage="1" showErrorMessage="1" prompt="De dagen van de maand in deze rij worden automatisch gegenereerd. Voer voor elke dag van de maand in elke kolom het verzuim en het type verzuim van een werknemer in. Leeg betekent geen verzuim" sqref="C6" xr:uid="{74C39D4F-F322-8F48-B138-E09A8BF21D00}"/>
    <dataValidation allowBlank="1" showInputMessage="1" showErrorMessage="1" prompt="Deze rij definieert de sleutels die worden gebruikt in de tabel: cel C2 is Vakantie, G2 is Persoonlijk en K2 is Ziekteverlof. De cellen N2 en R2 kunnen worden aangepast" sqref="B2" xr:uid="{00000000-0002-0000-0200-000003000000}"/>
    <dataValidation allowBlank="1" showInputMessage="1" showErrorMessage="1" prompt="Voer links een label in om de aangepaste sleutel te beschrijven" sqref="O2:Q2 S2:U2" xr:uid="{00000000-0002-0000-0200-000004000000}"/>
    <dataValidation allowBlank="1" showInputMessage="1" showErrorMessage="1" prompt="Voer een letter in en pas rechts het label aan om een ander sleutelitem toe te voegen" sqref="N2 R2" xr:uid="{00000000-0002-0000-0200-000005000000}"/>
    <dataValidation allowBlank="1" showInputMessage="1" showErrorMessage="1" prompt="De letter &quot;Z&quot; geeft afwezigheid vanwege ziekte aan" sqref="K2" xr:uid="{00000000-0002-0000-0200-000006000000}"/>
    <dataValidation allowBlank="1" showInputMessage="1" showErrorMessage="1" prompt="De letter &quot;P&quot; geeft afwezigheid vanwege persoonlijke redenen aan" sqref="G2" xr:uid="{00000000-0002-0000-0200-000007000000}"/>
    <dataValidation allowBlank="1" showInputMessage="1" showErrorMessage="1" prompt="De letter &quot;V&quot; geeft afwezigheid vanwege vakantie aan" sqref="C2" xr:uid="{00000000-0002-0000-0200-000008000000}"/>
    <dataValidation allowBlank="1" showInputMessage="1" showErrorMessage="1" prompt="De titel wordt automatisch bijgewerkt in deze cel. Als u de titel wilt wijzigen, werk B1 in het januari-werkblad bij" sqref="B1" xr:uid="{00000000-0002-0000-0200-000009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978474B8-9B89-7048-9D59-B786A447A33C}"/>
    <dataValidation allowBlank="1" showInputMessage="1" showErrorMessage="1" prompt="Houd de afwezigheid in maart in dit werkblad bij" sqref="A1" xr:uid="{00000000-0002-0000-0200-00000B000000}"/>
    <dataValidation allowBlank="1" showInputMessage="1" showErrorMessage="1" prompt="Maand van dit verzuimschema. Werk het jaar bij in cel AH4. Houd de totalen bij per maand in de laatste cel van de tabel. Namen van werknemers invoeren in tabelkolom B" sqref="B4" xr:uid="{DF92EE02-4119-FB47-9602-1BD7F582569A}"/>
    <dataValidation allowBlank="1" showInputMessage="1" showErrorMessage="1" prompt="Berekent automatisch het totaal aantal dagen dat een werknemer in deze maand niet afwezig was" sqref="AH6" xr:uid="{E8251F36-605B-1E4C-8079-3BBD5A825893}"/>
    <dataValidation allowBlank="1" showInputMessage="1" showErrorMessage="1" prompt="Weekdagen in deze rij worden automatisch bijgewerkt voor de maand, overeenkomstig het jaar dat is ingevoerd in AH4. Elke dag van de maand is een kolom om het verzuim en type verzuim van een werknemer te noteren" sqref="C5" xr:uid="{BCA0C20F-5CB6-8A42-AD6F-11F275686B9D}"/>
    <dataValidation allowBlank="1" showInputMessage="1" showErrorMessage="1" prompt="Voer het jaar in deze cel in" sqref="AH4" xr:uid="{097FF187-F538-1E40-8D7B-C64F5D4CA873}"/>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17421044-1633-4989-B988-DD85E5D37AF2}">
            <x14:dataBar minLength="0" maxLength="100">
              <x14:cfvo type="num">
                <xm:f>0</xm:f>
              </x14:cfvo>
              <x14:cfvo type="num">
                <xm:f>31</xm:f>
              </x14:cfvo>
              <x14:negativeFillColor rgb="FFFF0000"/>
              <x14:axisColor rgb="FF000000"/>
            </x14:dataBar>
          </x14:cfRule>
          <xm:sqref>AH19</xm:sqref>
        </x14:conditionalFormatting>
        <x14:conditionalFormatting xmlns:xm="http://schemas.microsoft.com/office/excel/2006/main">
          <x14:cfRule type="dataBar" id="{9642F928-8680-C74E-BA54-E50944F433A0}">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4">
    <tabColor theme="2" tint="-0.249977111117893"/>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46</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77</v>
      </c>
      <c r="D5" s="1" t="s">
        <v>78</v>
      </c>
      <c r="E5" s="1" t="s">
        <v>79</v>
      </c>
      <c r="F5" s="1" t="s">
        <v>73</v>
      </c>
      <c r="G5" s="1" t="s">
        <v>74</v>
      </c>
      <c r="H5" s="1" t="s">
        <v>75</v>
      </c>
      <c r="I5" s="1" t="s">
        <v>76</v>
      </c>
      <c r="J5" s="1" t="s">
        <v>77</v>
      </c>
      <c r="K5" s="1" t="s">
        <v>78</v>
      </c>
      <c r="L5" s="1" t="s">
        <v>79</v>
      </c>
      <c r="M5" s="1" t="s">
        <v>73</v>
      </c>
      <c r="N5" s="1" t="s">
        <v>74</v>
      </c>
      <c r="O5" s="1" t="s">
        <v>75</v>
      </c>
      <c r="P5" s="1" t="s">
        <v>76</v>
      </c>
      <c r="Q5" s="1" t="s">
        <v>77</v>
      </c>
      <c r="R5" s="1" t="s">
        <v>78</v>
      </c>
      <c r="S5" s="1" t="s">
        <v>79</v>
      </c>
      <c r="T5" s="1" t="s">
        <v>73</v>
      </c>
      <c r="U5" s="1" t="s">
        <v>74</v>
      </c>
      <c r="V5" s="1" t="s">
        <v>75</v>
      </c>
      <c r="W5" s="1" t="s">
        <v>76</v>
      </c>
      <c r="X5" s="1" t="s">
        <v>77</v>
      </c>
      <c r="Y5" s="1" t="s">
        <v>78</v>
      </c>
      <c r="Z5" s="1" t="s">
        <v>79</v>
      </c>
      <c r="AA5" s="1" t="s">
        <v>73</v>
      </c>
      <c r="AB5" s="1" t="s">
        <v>74</v>
      </c>
      <c r="AC5" s="1" t="s">
        <v>75</v>
      </c>
      <c r="AD5" s="1" t="s">
        <v>76</v>
      </c>
      <c r="AE5" s="1" t="s">
        <v>77</v>
      </c>
      <c r="AF5" s="1" t="s">
        <v>78</v>
      </c>
      <c r="AG5" s="1"/>
      <c r="AH5" s="8"/>
    </row>
    <row r="6" spans="2: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2:34" ht="30" customHeight="1" x14ac:dyDescent="0.2">
      <c r="B7" t="str">
        <f>Werknemersnamen!B4</f>
        <v>Biragoye Isaac</v>
      </c>
      <c r="C7" s="25" t="s">
        <v>63</v>
      </c>
      <c r="D7" s="25" t="s">
        <v>63</v>
      </c>
      <c r="E7" s="25" t="s">
        <v>63</v>
      </c>
      <c r="F7" s="25" t="s">
        <v>63</v>
      </c>
      <c r="G7" s="26" t="s">
        <v>63</v>
      </c>
      <c r="H7" s="25" t="s">
        <v>72</v>
      </c>
      <c r="I7" s="25" t="s">
        <v>63</v>
      </c>
      <c r="J7" s="25" t="s">
        <v>63</v>
      </c>
      <c r="K7" s="25" t="s">
        <v>63</v>
      </c>
      <c r="L7" s="25" t="s">
        <v>63</v>
      </c>
      <c r="M7" s="25" t="s">
        <v>63</v>
      </c>
      <c r="N7" s="26" t="s">
        <v>63</v>
      </c>
      <c r="O7" s="25" t="s">
        <v>72</v>
      </c>
      <c r="P7" s="25" t="s">
        <v>63</v>
      </c>
      <c r="Q7" s="25" t="s">
        <v>63</v>
      </c>
      <c r="R7" s="25" t="s">
        <v>63</v>
      </c>
      <c r="S7" s="25" t="s">
        <v>63</v>
      </c>
      <c r="T7" s="25" t="s">
        <v>63</v>
      </c>
      <c r="U7" s="26" t="s">
        <v>63</v>
      </c>
      <c r="V7" s="25" t="s">
        <v>72</v>
      </c>
      <c r="W7" s="25" t="s">
        <v>63</v>
      </c>
      <c r="X7" s="25" t="s">
        <v>63</v>
      </c>
      <c r="Y7" s="25" t="s">
        <v>63</v>
      </c>
      <c r="Z7" s="25" t="s">
        <v>63</v>
      </c>
      <c r="AA7" s="25" t="s">
        <v>63</v>
      </c>
      <c r="AB7" s="26" t="s">
        <v>63</v>
      </c>
      <c r="AC7" s="25" t="s">
        <v>72</v>
      </c>
      <c r="AD7" s="25" t="s">
        <v>63</v>
      </c>
      <c r="AE7" s="25" t="s">
        <v>63</v>
      </c>
      <c r="AF7" s="25" t="s">
        <v>63</v>
      </c>
      <c r="AG7" s="1"/>
      <c r="AH7" s="7">
        <f t="shared" ref="AH7:AH18" ca="1" si="0">SUM($C$18:$AH$18)</f>
        <v>0</v>
      </c>
    </row>
    <row r="8" spans="2:34" ht="30" customHeight="1" x14ac:dyDescent="0.2">
      <c r="B8" t="str">
        <f>Werknemersnamen!B5</f>
        <v>Cinar Rafet</v>
      </c>
      <c r="C8" s="25" t="s">
        <v>63</v>
      </c>
      <c r="D8" s="25" t="s">
        <v>63</v>
      </c>
      <c r="E8" s="25" t="s">
        <v>63</v>
      </c>
      <c r="F8" s="25" t="s">
        <v>63</v>
      </c>
      <c r="G8" s="26" t="s">
        <v>63</v>
      </c>
      <c r="H8" s="25" t="s">
        <v>72</v>
      </c>
      <c r="I8" s="25" t="s">
        <v>63</v>
      </c>
      <c r="J8" s="25" t="s">
        <v>63</v>
      </c>
      <c r="K8" s="25" t="s">
        <v>63</v>
      </c>
      <c r="L8" s="25" t="s">
        <v>63</v>
      </c>
      <c r="M8" s="25" t="s">
        <v>63</v>
      </c>
      <c r="N8" s="26" t="s">
        <v>63</v>
      </c>
      <c r="O8" s="25" t="s">
        <v>72</v>
      </c>
      <c r="P8" s="25" t="s">
        <v>63</v>
      </c>
      <c r="Q8" s="25" t="s">
        <v>63</v>
      </c>
      <c r="R8" s="25" t="s">
        <v>63</v>
      </c>
      <c r="S8" s="25" t="s">
        <v>63</v>
      </c>
      <c r="T8" s="25" t="s">
        <v>63</v>
      </c>
      <c r="U8" s="26" t="s">
        <v>63</v>
      </c>
      <c r="V8" s="25" t="s">
        <v>72</v>
      </c>
      <c r="W8" s="25" t="s">
        <v>63</v>
      </c>
      <c r="X8" s="25" t="s">
        <v>63</v>
      </c>
      <c r="Y8" s="25" t="s">
        <v>63</v>
      </c>
      <c r="Z8" s="25" t="s">
        <v>63</v>
      </c>
      <c r="AA8" s="25" t="s">
        <v>63</v>
      </c>
      <c r="AB8" s="26" t="s">
        <v>63</v>
      </c>
      <c r="AC8" s="25" t="s">
        <v>72</v>
      </c>
      <c r="AD8" s="25" t="s">
        <v>63</v>
      </c>
      <c r="AE8" s="25" t="s">
        <v>63</v>
      </c>
      <c r="AF8" s="25" t="s">
        <v>63</v>
      </c>
      <c r="AG8" s="1"/>
      <c r="AH8" s="7">
        <f t="shared" ca="1" si="0"/>
        <v>0</v>
      </c>
    </row>
    <row r="9" spans="2:34" ht="30" customHeight="1" x14ac:dyDescent="0.2">
      <c r="B9" t="str">
        <f>Werknemersnamen!B6</f>
        <v>Cygora Lukasz Jan</v>
      </c>
      <c r="C9" s="25" t="s">
        <v>63</v>
      </c>
      <c r="D9" s="25" t="s">
        <v>63</v>
      </c>
      <c r="E9" s="25" t="s">
        <v>63</v>
      </c>
      <c r="F9" s="25" t="s">
        <v>63</v>
      </c>
      <c r="G9" s="26" t="s">
        <v>63</v>
      </c>
      <c r="H9" s="25" t="s">
        <v>72</v>
      </c>
      <c r="I9" s="25" t="s">
        <v>63</v>
      </c>
      <c r="J9" s="25" t="s">
        <v>63</v>
      </c>
      <c r="K9" s="25" t="s">
        <v>63</v>
      </c>
      <c r="L9" s="25" t="s">
        <v>63</v>
      </c>
      <c r="M9" s="25" t="s">
        <v>63</v>
      </c>
      <c r="N9" s="26" t="s">
        <v>63</v>
      </c>
      <c r="O9" s="25" t="s">
        <v>72</v>
      </c>
      <c r="P9" s="25" t="s">
        <v>63</v>
      </c>
      <c r="Q9" s="25" t="s">
        <v>63</v>
      </c>
      <c r="R9" s="25" t="s">
        <v>63</v>
      </c>
      <c r="S9" s="25" t="s">
        <v>63</v>
      </c>
      <c r="T9" s="25" t="s">
        <v>63</v>
      </c>
      <c r="U9" s="26" t="s">
        <v>63</v>
      </c>
      <c r="V9" s="25" t="s">
        <v>72</v>
      </c>
      <c r="W9" s="25" t="s">
        <v>63</v>
      </c>
      <c r="X9" s="25" t="s">
        <v>63</v>
      </c>
      <c r="Y9" s="25" t="s">
        <v>63</v>
      </c>
      <c r="Z9" s="25" t="s">
        <v>63</v>
      </c>
      <c r="AA9" s="25" t="s">
        <v>63</v>
      </c>
      <c r="AB9" s="26" t="s">
        <v>63</v>
      </c>
      <c r="AC9" s="25" t="s">
        <v>72</v>
      </c>
      <c r="AD9" s="25" t="s">
        <v>63</v>
      </c>
      <c r="AE9" s="25" t="s">
        <v>63</v>
      </c>
      <c r="AF9" s="25" t="s">
        <v>63</v>
      </c>
      <c r="AG9" s="1"/>
      <c r="AH9" s="7">
        <f t="shared" ca="1" si="0"/>
        <v>0</v>
      </c>
    </row>
    <row r="10" spans="2:34" ht="30" customHeight="1" x14ac:dyDescent="0.2">
      <c r="B10" t="str">
        <f>Werknemersnamen!B7</f>
        <v>El Karmoudi Taufik</v>
      </c>
      <c r="C10" s="25" t="s">
        <v>63</v>
      </c>
      <c r="D10" s="25" t="s">
        <v>63</v>
      </c>
      <c r="E10" s="25" t="s">
        <v>63</v>
      </c>
      <c r="F10" s="25" t="s">
        <v>63</v>
      </c>
      <c r="G10" s="26" t="s">
        <v>63</v>
      </c>
      <c r="H10" s="25" t="s">
        <v>72</v>
      </c>
      <c r="I10" s="25" t="s">
        <v>63</v>
      </c>
      <c r="J10" s="25" t="s">
        <v>63</v>
      </c>
      <c r="K10" s="25" t="s">
        <v>63</v>
      </c>
      <c r="L10" s="25" t="s">
        <v>63</v>
      </c>
      <c r="M10" s="25" t="s">
        <v>63</v>
      </c>
      <c r="N10" s="26" t="s">
        <v>63</v>
      </c>
      <c r="O10" s="25" t="s">
        <v>72</v>
      </c>
      <c r="P10" s="25" t="s">
        <v>63</v>
      </c>
      <c r="Q10" s="25" t="s">
        <v>63</v>
      </c>
      <c r="R10" s="25" t="s">
        <v>63</v>
      </c>
      <c r="S10" s="25" t="s">
        <v>63</v>
      </c>
      <c r="T10" s="25" t="s">
        <v>63</v>
      </c>
      <c r="U10" s="26" t="s">
        <v>63</v>
      </c>
      <c r="V10" s="25" t="s">
        <v>72</v>
      </c>
      <c r="W10" s="25" t="s">
        <v>63</v>
      </c>
      <c r="X10" s="25" t="s">
        <v>63</v>
      </c>
      <c r="Y10" s="25" t="s">
        <v>63</v>
      </c>
      <c r="Z10" s="25" t="s">
        <v>63</v>
      </c>
      <c r="AA10" s="25" t="s">
        <v>63</v>
      </c>
      <c r="AB10" s="26" t="s">
        <v>63</v>
      </c>
      <c r="AC10" s="25" t="s">
        <v>72</v>
      </c>
      <c r="AD10" s="25" t="s">
        <v>63</v>
      </c>
      <c r="AE10" s="25" t="s">
        <v>63</v>
      </c>
      <c r="AF10" s="25" t="s">
        <v>63</v>
      </c>
      <c r="AG10" s="1"/>
      <c r="AH10" s="7">
        <f t="shared" ca="1" si="0"/>
        <v>0</v>
      </c>
    </row>
    <row r="11" spans="2:34" ht="30" customHeight="1" x14ac:dyDescent="0.2">
      <c r="B11" t="str">
        <f>Werknemersnamen!B8</f>
        <v>El Maazouzi Abdelilah</v>
      </c>
      <c r="C11" s="25" t="s">
        <v>63</v>
      </c>
      <c r="D11" s="25" t="s">
        <v>63</v>
      </c>
      <c r="E11" s="25" t="s">
        <v>63</v>
      </c>
      <c r="F11" s="25" t="s">
        <v>63</v>
      </c>
      <c r="G11" s="26" t="s">
        <v>63</v>
      </c>
      <c r="H11" s="25" t="s">
        <v>72</v>
      </c>
      <c r="I11" s="25" t="s">
        <v>63</v>
      </c>
      <c r="J11" s="25" t="s">
        <v>63</v>
      </c>
      <c r="K11" s="25" t="s">
        <v>63</v>
      </c>
      <c r="L11" s="25" t="s">
        <v>63</v>
      </c>
      <c r="M11" s="25" t="s">
        <v>63</v>
      </c>
      <c r="N11" s="26" t="s">
        <v>63</v>
      </c>
      <c r="O11" s="25" t="s">
        <v>72</v>
      </c>
      <c r="P11" s="25" t="s">
        <v>63</v>
      </c>
      <c r="Q11" s="25" t="s">
        <v>63</v>
      </c>
      <c r="R11" s="25" t="s">
        <v>63</v>
      </c>
      <c r="S11" s="25" t="s">
        <v>63</v>
      </c>
      <c r="T11" s="25" t="s">
        <v>63</v>
      </c>
      <c r="U11" s="26" t="s">
        <v>63</v>
      </c>
      <c r="V11" s="25" t="s">
        <v>72</v>
      </c>
      <c r="W11" s="25" t="s">
        <v>63</v>
      </c>
      <c r="X11" s="25" t="s">
        <v>63</v>
      </c>
      <c r="Y11" s="25" t="s">
        <v>63</v>
      </c>
      <c r="Z11" s="25" t="s">
        <v>63</v>
      </c>
      <c r="AA11" s="25" t="s">
        <v>63</v>
      </c>
      <c r="AB11" s="26" t="s">
        <v>63</v>
      </c>
      <c r="AC11" s="25" t="s">
        <v>72</v>
      </c>
      <c r="AD11" s="25" t="s">
        <v>63</v>
      </c>
      <c r="AE11" s="25" t="s">
        <v>63</v>
      </c>
      <c r="AF11" s="25" t="s">
        <v>63</v>
      </c>
      <c r="AG11" s="1"/>
      <c r="AH11" s="7">
        <f t="shared" ca="1" si="0"/>
        <v>0</v>
      </c>
    </row>
    <row r="12" spans="2:34" ht="30" customHeight="1" x14ac:dyDescent="0.2">
      <c r="B12" t="str">
        <f>Werknemersnamen!B9</f>
        <v>Gultekin Muhammed A</v>
      </c>
      <c r="C12" s="25" t="s">
        <v>63</v>
      </c>
      <c r="D12" s="25" t="s">
        <v>63</v>
      </c>
      <c r="E12" s="25" t="s">
        <v>63</v>
      </c>
      <c r="F12" s="25" t="s">
        <v>63</v>
      </c>
      <c r="G12" s="26" t="s">
        <v>63</v>
      </c>
      <c r="H12" s="25" t="s">
        <v>72</v>
      </c>
      <c r="I12" s="25" t="s">
        <v>63</v>
      </c>
      <c r="J12" s="25" t="s">
        <v>63</v>
      </c>
      <c r="K12" s="25" t="s">
        <v>63</v>
      </c>
      <c r="L12" s="25" t="s">
        <v>63</v>
      </c>
      <c r="M12" s="25" t="s">
        <v>63</v>
      </c>
      <c r="N12" s="26" t="s">
        <v>63</v>
      </c>
      <c r="O12" s="25" t="s">
        <v>72</v>
      </c>
      <c r="P12" s="25" t="s">
        <v>63</v>
      </c>
      <c r="Q12" s="25" t="s">
        <v>63</v>
      </c>
      <c r="R12" s="25" t="s">
        <v>63</v>
      </c>
      <c r="S12" s="25" t="s">
        <v>63</v>
      </c>
      <c r="T12" s="25" t="s">
        <v>63</v>
      </c>
      <c r="U12" s="26" t="s">
        <v>63</v>
      </c>
      <c r="V12" s="25" t="s">
        <v>72</v>
      </c>
      <c r="W12" s="25" t="s">
        <v>63</v>
      </c>
      <c r="X12" s="25" t="s">
        <v>63</v>
      </c>
      <c r="Y12" s="25" t="s">
        <v>63</v>
      </c>
      <c r="Z12" s="25" t="s">
        <v>63</v>
      </c>
      <c r="AA12" s="25" t="s">
        <v>63</v>
      </c>
      <c r="AB12" s="26" t="s">
        <v>63</v>
      </c>
      <c r="AC12" s="25" t="s">
        <v>72</v>
      </c>
      <c r="AD12" s="25" t="s">
        <v>63</v>
      </c>
      <c r="AE12" s="25" t="s">
        <v>63</v>
      </c>
      <c r="AF12" s="25" t="s">
        <v>63</v>
      </c>
      <c r="AG12" s="1"/>
      <c r="AH12" s="7">
        <f t="shared" ca="1" si="0"/>
        <v>0</v>
      </c>
    </row>
    <row r="13" spans="2:34" ht="30" customHeight="1" x14ac:dyDescent="0.2">
      <c r="B13" t="str">
        <f>Werknemersnamen!B10</f>
        <v>Gultekin Muhammed E</v>
      </c>
      <c r="C13" s="25" t="s">
        <v>63</v>
      </c>
      <c r="D13" s="25" t="s">
        <v>63</v>
      </c>
      <c r="E13" s="25" t="s">
        <v>63</v>
      </c>
      <c r="F13" s="25" t="s">
        <v>63</v>
      </c>
      <c r="G13" s="26" t="s">
        <v>63</v>
      </c>
      <c r="H13" s="25" t="s">
        <v>72</v>
      </c>
      <c r="I13" s="25" t="s">
        <v>63</v>
      </c>
      <c r="J13" s="25" t="s">
        <v>63</v>
      </c>
      <c r="K13" s="25" t="s">
        <v>63</v>
      </c>
      <c r="L13" s="25" t="s">
        <v>63</v>
      </c>
      <c r="M13" s="25" t="s">
        <v>63</v>
      </c>
      <c r="N13" s="26" t="s">
        <v>63</v>
      </c>
      <c r="O13" s="25" t="s">
        <v>72</v>
      </c>
      <c r="P13" s="25" t="s">
        <v>63</v>
      </c>
      <c r="Q13" s="25" t="s">
        <v>63</v>
      </c>
      <c r="R13" s="25" t="s">
        <v>63</v>
      </c>
      <c r="S13" s="25" t="s">
        <v>63</v>
      </c>
      <c r="T13" s="25" t="s">
        <v>63</v>
      </c>
      <c r="U13" s="26" t="s">
        <v>63</v>
      </c>
      <c r="V13" s="25" t="s">
        <v>72</v>
      </c>
      <c r="W13" s="25" t="s">
        <v>63</v>
      </c>
      <c r="X13" s="25" t="s">
        <v>63</v>
      </c>
      <c r="Y13" s="25" t="s">
        <v>63</v>
      </c>
      <c r="Z13" s="25" t="s">
        <v>63</v>
      </c>
      <c r="AA13" s="25" t="s">
        <v>63</v>
      </c>
      <c r="AB13" s="26" t="s">
        <v>63</v>
      </c>
      <c r="AC13" s="25" t="s">
        <v>72</v>
      </c>
      <c r="AD13" s="25" t="s">
        <v>63</v>
      </c>
      <c r="AE13" s="25" t="s">
        <v>63</v>
      </c>
      <c r="AF13" s="25" t="s">
        <v>63</v>
      </c>
      <c r="AG13" s="1"/>
      <c r="AH13" s="7">
        <f t="shared" ca="1" si="0"/>
        <v>0</v>
      </c>
    </row>
    <row r="14" spans="2:34" ht="30" customHeight="1" x14ac:dyDescent="0.2">
      <c r="B14" t="str">
        <f>Werknemersnamen!B11</f>
        <v>Irakoze Patrick</v>
      </c>
      <c r="C14" s="25" t="s">
        <v>63</v>
      </c>
      <c r="D14" s="25" t="s">
        <v>63</v>
      </c>
      <c r="E14" s="25" t="s">
        <v>63</v>
      </c>
      <c r="F14" s="25" t="s">
        <v>63</v>
      </c>
      <c r="G14" s="26" t="s">
        <v>63</v>
      </c>
      <c r="H14" s="25" t="s">
        <v>72</v>
      </c>
      <c r="I14" s="25" t="s">
        <v>63</v>
      </c>
      <c r="J14" s="25" t="s">
        <v>63</v>
      </c>
      <c r="K14" s="25" t="s">
        <v>63</v>
      </c>
      <c r="L14" s="25" t="s">
        <v>63</v>
      </c>
      <c r="M14" s="25" t="s">
        <v>63</v>
      </c>
      <c r="N14" s="26" t="s">
        <v>63</v>
      </c>
      <c r="O14" s="25" t="s">
        <v>72</v>
      </c>
      <c r="P14" s="25" t="s">
        <v>63</v>
      </c>
      <c r="Q14" s="25" t="s">
        <v>63</v>
      </c>
      <c r="R14" s="25" t="s">
        <v>63</v>
      </c>
      <c r="S14" s="25" t="s">
        <v>63</v>
      </c>
      <c r="T14" s="25" t="s">
        <v>63</v>
      </c>
      <c r="U14" s="26" t="s">
        <v>63</v>
      </c>
      <c r="V14" s="25" t="s">
        <v>72</v>
      </c>
      <c r="W14" s="25" t="s">
        <v>63</v>
      </c>
      <c r="X14" s="25" t="s">
        <v>63</v>
      </c>
      <c r="Y14" s="25" t="s">
        <v>63</v>
      </c>
      <c r="Z14" s="25" t="s">
        <v>63</v>
      </c>
      <c r="AA14" s="25" t="s">
        <v>63</v>
      </c>
      <c r="AB14" s="26" t="s">
        <v>63</v>
      </c>
      <c r="AC14" s="25" t="s">
        <v>72</v>
      </c>
      <c r="AD14" s="25" t="s">
        <v>63</v>
      </c>
      <c r="AE14" s="25" t="s">
        <v>63</v>
      </c>
      <c r="AF14" s="25" t="s">
        <v>63</v>
      </c>
      <c r="AG14" s="1"/>
      <c r="AH14" s="7">
        <f t="shared" ca="1" si="0"/>
        <v>0</v>
      </c>
    </row>
    <row r="15" spans="2:34" ht="30" customHeight="1" x14ac:dyDescent="0.2">
      <c r="B15" t="str">
        <f>Werknemersnamen!B12</f>
        <v>Kacar Abdullah</v>
      </c>
      <c r="C15" s="25" t="s">
        <v>63</v>
      </c>
      <c r="D15" s="25" t="s">
        <v>63</v>
      </c>
      <c r="E15" s="25" t="s">
        <v>63</v>
      </c>
      <c r="F15" s="25" t="s">
        <v>63</v>
      </c>
      <c r="G15" s="26" t="s">
        <v>63</v>
      </c>
      <c r="H15" s="25" t="s">
        <v>72</v>
      </c>
      <c r="I15" s="25" t="s">
        <v>63</v>
      </c>
      <c r="J15" s="25" t="s">
        <v>63</v>
      </c>
      <c r="K15" s="25" t="s">
        <v>63</v>
      </c>
      <c r="L15" s="25" t="s">
        <v>63</v>
      </c>
      <c r="M15" s="25" t="s">
        <v>63</v>
      </c>
      <c r="N15" s="26" t="s">
        <v>63</v>
      </c>
      <c r="O15" s="25" t="s">
        <v>72</v>
      </c>
      <c r="P15" s="25" t="s">
        <v>63</v>
      </c>
      <c r="Q15" s="25" t="s">
        <v>63</v>
      </c>
      <c r="R15" s="25" t="s">
        <v>63</v>
      </c>
      <c r="S15" s="25" t="s">
        <v>63</v>
      </c>
      <c r="T15" s="25" t="s">
        <v>63</v>
      </c>
      <c r="U15" s="26" t="s">
        <v>63</v>
      </c>
      <c r="V15" s="25" t="s">
        <v>72</v>
      </c>
      <c r="W15" s="25" t="s">
        <v>63</v>
      </c>
      <c r="X15" s="25" t="s">
        <v>63</v>
      </c>
      <c r="Y15" s="25" t="s">
        <v>63</v>
      </c>
      <c r="Z15" s="25" t="s">
        <v>63</v>
      </c>
      <c r="AA15" s="25" t="s">
        <v>63</v>
      </c>
      <c r="AB15" s="26" t="s">
        <v>63</v>
      </c>
      <c r="AC15" s="25" t="s">
        <v>72</v>
      </c>
      <c r="AD15" s="25" t="s">
        <v>63</v>
      </c>
      <c r="AE15" s="25" t="s">
        <v>63</v>
      </c>
      <c r="AF15" s="25" t="s">
        <v>63</v>
      </c>
      <c r="AG15" s="1"/>
      <c r="AH15" s="7">
        <f t="shared" ca="1" si="0"/>
        <v>0</v>
      </c>
    </row>
    <row r="16" spans="2:34" ht="30" customHeight="1" x14ac:dyDescent="0.2">
      <c r="B16" t="str">
        <f>Werknemersnamen!B13</f>
        <v>Kefes Levent</v>
      </c>
      <c r="C16" s="25" t="s">
        <v>63</v>
      </c>
      <c r="D16" s="25" t="s">
        <v>63</v>
      </c>
      <c r="E16" s="25" t="s">
        <v>63</v>
      </c>
      <c r="F16" s="25" t="s">
        <v>63</v>
      </c>
      <c r="G16" s="26" t="s">
        <v>63</v>
      </c>
      <c r="H16" s="25" t="s">
        <v>72</v>
      </c>
      <c r="I16" s="25" t="s">
        <v>63</v>
      </c>
      <c r="J16" s="25" t="s">
        <v>63</v>
      </c>
      <c r="K16" s="25" t="s">
        <v>63</v>
      </c>
      <c r="L16" s="25" t="s">
        <v>63</v>
      </c>
      <c r="M16" s="25" t="s">
        <v>63</v>
      </c>
      <c r="N16" s="26" t="s">
        <v>63</v>
      </c>
      <c r="O16" s="25" t="s">
        <v>72</v>
      </c>
      <c r="P16" s="25" t="s">
        <v>63</v>
      </c>
      <c r="Q16" s="25" t="s">
        <v>63</v>
      </c>
      <c r="R16" s="25" t="s">
        <v>63</v>
      </c>
      <c r="S16" s="25" t="s">
        <v>63</v>
      </c>
      <c r="T16" s="25" t="s">
        <v>63</v>
      </c>
      <c r="U16" s="26" t="s">
        <v>63</v>
      </c>
      <c r="V16" s="25" t="s">
        <v>72</v>
      </c>
      <c r="W16" s="25" t="s">
        <v>63</v>
      </c>
      <c r="X16" s="25" t="s">
        <v>63</v>
      </c>
      <c r="Y16" s="25" t="s">
        <v>63</v>
      </c>
      <c r="Z16" s="25" t="s">
        <v>63</v>
      </c>
      <c r="AA16" s="25" t="s">
        <v>63</v>
      </c>
      <c r="AB16" s="26" t="s">
        <v>63</v>
      </c>
      <c r="AC16" s="25" t="s">
        <v>72</v>
      </c>
      <c r="AD16" s="25" t="s">
        <v>63</v>
      </c>
      <c r="AE16" s="25" t="s">
        <v>63</v>
      </c>
      <c r="AF16" s="25" t="s">
        <v>63</v>
      </c>
      <c r="AG16" s="1"/>
      <c r="AH16" s="7">
        <f t="shared" ca="1" si="0"/>
        <v>0</v>
      </c>
    </row>
    <row r="17" spans="2:34" ht="30" customHeight="1" x14ac:dyDescent="0.2">
      <c r="B17" t="str">
        <f>Werknemersnamen!B14</f>
        <v>Moualdine Ali</v>
      </c>
      <c r="C17" s="25" t="s">
        <v>63</v>
      </c>
      <c r="D17" s="25" t="s">
        <v>63</v>
      </c>
      <c r="E17" s="25" t="s">
        <v>63</v>
      </c>
      <c r="F17" s="25" t="s">
        <v>63</v>
      </c>
      <c r="G17" s="26" t="s">
        <v>63</v>
      </c>
      <c r="H17" s="25" t="s">
        <v>72</v>
      </c>
      <c r="I17" s="25" t="s">
        <v>63</v>
      </c>
      <c r="J17" s="25" t="s">
        <v>63</v>
      </c>
      <c r="K17" s="25" t="s">
        <v>63</v>
      </c>
      <c r="L17" s="25" t="s">
        <v>63</v>
      </c>
      <c r="M17" s="25" t="s">
        <v>63</v>
      </c>
      <c r="N17" s="26" t="s">
        <v>63</v>
      </c>
      <c r="O17" s="25" t="s">
        <v>72</v>
      </c>
      <c r="P17" s="25" t="s">
        <v>63</v>
      </c>
      <c r="Q17" s="25" t="s">
        <v>63</v>
      </c>
      <c r="R17" s="25" t="s">
        <v>63</v>
      </c>
      <c r="S17" s="25" t="s">
        <v>63</v>
      </c>
      <c r="T17" s="25" t="s">
        <v>63</v>
      </c>
      <c r="U17" s="26" t="s">
        <v>63</v>
      </c>
      <c r="V17" s="25" t="s">
        <v>72</v>
      </c>
      <c r="W17" s="25" t="s">
        <v>63</v>
      </c>
      <c r="X17" s="25" t="s">
        <v>63</v>
      </c>
      <c r="Y17" s="25" t="s">
        <v>63</v>
      </c>
      <c r="Z17" s="25" t="s">
        <v>63</v>
      </c>
      <c r="AA17" s="25" t="s">
        <v>63</v>
      </c>
      <c r="AB17" s="26" t="s">
        <v>63</v>
      </c>
      <c r="AC17" s="25" t="s">
        <v>72</v>
      </c>
      <c r="AD17" s="25" t="s">
        <v>63</v>
      </c>
      <c r="AE17" s="25" t="s">
        <v>63</v>
      </c>
      <c r="AF17" s="25" t="s">
        <v>63</v>
      </c>
      <c r="AG17" s="1"/>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B19" s="16"/>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2:34" ht="30" customHeight="1" x14ac:dyDescent="0.2">
      <c r="B20" t="s">
        <v>84</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7:AG18">
    <cfRule type="expression" priority="1" stopIfTrue="1">
      <formula>C7=""</formula>
    </cfRule>
    <cfRule type="expression" dxfId="528" priority="2" stopIfTrue="1">
      <formula>C7=KeyCustom2</formula>
    </cfRule>
    <cfRule type="expression" dxfId="527" priority="3" stopIfTrue="1">
      <formula>C7=KeyCustom1</formula>
    </cfRule>
    <cfRule type="expression" dxfId="526" priority="4" stopIfTrue="1">
      <formula>C7=KeySick</formula>
    </cfRule>
    <cfRule type="expression" dxfId="525" priority="5" stopIfTrue="1">
      <formula>C7=KeyPersonal</formula>
    </cfRule>
    <cfRule type="expression" dxfId="524"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{B15D2643-C2C0-1F4D-8BF0-D0D997BC7FD1}</x14:id>
        </ext>
      </extLst>
    </cfRule>
  </conditionalFormatting>
  <dataValidations count="14">
    <dataValidation allowBlank="1" showInputMessage="1" showErrorMessage="1" prompt="Houd de afwezigheid in april in dit werkblad bij" sqref="A1" xr:uid="{00000000-0002-0000-0300-000002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716A970B-E251-6544-8DFF-6CDE5AD2EA7B}"/>
    <dataValidation allowBlank="1" showInputMessage="1" showErrorMessage="1" prompt="De titel wordt automatisch bijgewerkt in deze cel. Als u de titel wilt wijzigen, werk B1 in het januari-werkblad bij" sqref="B1" xr:uid="{00000000-0002-0000-0300-000004000000}"/>
    <dataValidation allowBlank="1" showInputMessage="1" showErrorMessage="1" prompt="De letter &quot;V&quot; geeft afwezigheid vanwege vakantie aan" sqref="C2" xr:uid="{00000000-0002-0000-0300-000005000000}"/>
    <dataValidation allowBlank="1" showInputMessage="1" showErrorMessage="1" prompt="De letter &quot;P&quot; geeft afwezigheid vanwege persoonlijke redenen aan" sqref="G2" xr:uid="{00000000-0002-0000-0300-000006000000}"/>
    <dataValidation allowBlank="1" showInputMessage="1" showErrorMessage="1" prompt="De letter &quot;Z&quot; geeft afwezigheid vanwege ziekte aan" sqref="K2" xr:uid="{00000000-0002-0000-0300-000007000000}"/>
    <dataValidation allowBlank="1" showInputMessage="1" showErrorMessage="1" prompt="Voer een letter in en pas rechts het label aan om een ander sleutelitem toe te voegen" sqref="N2 R2" xr:uid="{00000000-0002-0000-0300-000008000000}"/>
    <dataValidation allowBlank="1" showInputMessage="1" showErrorMessage="1" prompt="Voer links een label in om de aangepaste sleutel te beschrijven" sqref="O2:Q2 S2:U2" xr:uid="{00000000-0002-0000-0300-000009000000}"/>
    <dataValidation allowBlank="1" showInputMessage="1" showErrorMessage="1" prompt="Deze rij definieert de sleutels die worden gebruikt in de tabel: cel C2 is Vakantie, G2 is Persoonlijk en K2 is Ziekteverlof. De cellen N2 en R2 kunnen worden aangepast" sqref="B2" xr:uid="{00000000-0002-0000-0300-00000A000000}"/>
    <dataValidation allowBlank="1" showInputMessage="1" showErrorMessage="1" prompt="De dagen van de maand in deze rij worden automatisch gegenereerd. Voer voor elke dag van de maand in elke kolom het verzuim en het type verzuim van een werknemer in. Leeg betekent geen verzuim" sqref="C6" xr:uid="{A6E87D40-FC44-4141-8424-E6837B36DD3B}"/>
    <dataValidation allowBlank="1" showInputMessage="1" showErrorMessage="1" prompt="Maand van dit verzuimschema. Werk het jaar bij in cel AH4. Houd de totalen bij per maand in de laatste cel van de tabel. Namen van werknemers invoeren in tabelkolom B" sqref="B4" xr:uid="{F095B444-BFDF-0646-AD1F-CC9C2D380687}"/>
    <dataValidation allowBlank="1" showInputMessage="1" showErrorMessage="1" prompt="Berekent automatisch het totaal aantal dagen dat een werknemer in deze maand niet afwezig was" sqref="AH6" xr:uid="{303EA9C0-5294-3245-801E-C7B065BC0061}"/>
    <dataValidation allowBlank="1" showInputMessage="1" showErrorMessage="1" prompt="Weekdagen in deze rij worden automatisch bijgewerkt voor de maand, overeenkomstig het jaar dat is ingevoerd in AH4. Elke dag van de maand is een kolom om het verzuim en type verzuim van een werknemer te noteren" sqref="C5" xr:uid="{6FA0B16B-8249-054F-A49F-C247DF1013A5}"/>
    <dataValidation allowBlank="1" showInputMessage="1" showErrorMessage="1" prompt="Voer het jaar in deze cel in" sqref="AH4" xr:uid="{35EDA7C7-2A1D-984E-9D48-D0B46B260F8E}"/>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15D2643-C2C0-1F4D-8BF0-D0D997BC7FD1}">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5">
    <tabColor theme="2" tint="-9.9978637043366805E-2"/>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54</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79</v>
      </c>
      <c r="D5" s="1" t="s">
        <v>73</v>
      </c>
      <c r="E5" s="1" t="s">
        <v>74</v>
      </c>
      <c r="F5" s="1" t="s">
        <v>75</v>
      </c>
      <c r="G5" s="1" t="s">
        <v>76</v>
      </c>
      <c r="H5" s="1" t="s">
        <v>77</v>
      </c>
      <c r="I5" s="1" t="s">
        <v>78</v>
      </c>
      <c r="J5" s="1" t="s">
        <v>79</v>
      </c>
      <c r="K5" s="1" t="s">
        <v>73</v>
      </c>
      <c r="L5" s="1" t="s">
        <v>74</v>
      </c>
      <c r="M5" s="1" t="s">
        <v>75</v>
      </c>
      <c r="N5" s="1" t="s">
        <v>76</v>
      </c>
      <c r="O5" s="1" t="s">
        <v>77</v>
      </c>
      <c r="P5" s="1" t="s">
        <v>78</v>
      </c>
      <c r="Q5" s="1" t="s">
        <v>79</v>
      </c>
      <c r="R5" s="1" t="s">
        <v>73</v>
      </c>
      <c r="S5" s="1" t="s">
        <v>74</v>
      </c>
      <c r="T5" s="1" t="s">
        <v>75</v>
      </c>
      <c r="U5" s="1" t="s">
        <v>76</v>
      </c>
      <c r="V5" s="1" t="s">
        <v>77</v>
      </c>
      <c r="W5" s="1" t="s">
        <v>78</v>
      </c>
      <c r="X5" s="1" t="s">
        <v>79</v>
      </c>
      <c r="Y5" s="1" t="s">
        <v>73</v>
      </c>
      <c r="Z5" s="1" t="s">
        <v>74</v>
      </c>
      <c r="AA5" s="1" t="s">
        <v>75</v>
      </c>
      <c r="AB5" s="1" t="s">
        <v>76</v>
      </c>
      <c r="AC5" s="1" t="s">
        <v>77</v>
      </c>
      <c r="AD5" s="1" t="s">
        <v>78</v>
      </c>
      <c r="AE5" s="1" t="s">
        <v>79</v>
      </c>
      <c r="AF5" s="1" t="s">
        <v>73</v>
      </c>
      <c r="AG5" s="1" t="s">
        <v>74</v>
      </c>
      <c r="AH5" s="8"/>
    </row>
    <row r="6" spans="2:34" ht="15" customHeight="1" x14ac:dyDescent="0.2">
      <c r="B6" s="11" t="s">
        <v>3</v>
      </c>
      <c r="C6" s="27" t="s">
        <v>5</v>
      </c>
      <c r="D6" s="27" t="s">
        <v>7</v>
      </c>
      <c r="E6" s="27" t="s">
        <v>8</v>
      </c>
      <c r="F6" s="27" t="s">
        <v>10</v>
      </c>
      <c r="G6" s="27" t="s">
        <v>12</v>
      </c>
      <c r="H6" s="27" t="s">
        <v>14</v>
      </c>
      <c r="I6" s="27" t="s">
        <v>15</v>
      </c>
      <c r="J6" s="27" t="s">
        <v>16</v>
      </c>
      <c r="K6" s="27" t="s">
        <v>17</v>
      </c>
      <c r="L6" s="27" t="s">
        <v>19</v>
      </c>
      <c r="M6" s="27" t="s">
        <v>20</v>
      </c>
      <c r="N6" s="27" t="s">
        <v>21</v>
      </c>
      <c r="O6" s="27" t="s">
        <v>23</v>
      </c>
      <c r="P6" s="27" t="s">
        <v>24</v>
      </c>
      <c r="Q6" s="27" t="s">
        <v>25</v>
      </c>
      <c r="R6" s="27" t="s">
        <v>26</v>
      </c>
      <c r="S6" s="27" t="s">
        <v>28</v>
      </c>
      <c r="T6" s="27" t="s">
        <v>29</v>
      </c>
      <c r="U6" s="27" t="s">
        <v>30</v>
      </c>
      <c r="V6" s="27" t="s">
        <v>31</v>
      </c>
      <c r="W6" s="27" t="s">
        <v>32</v>
      </c>
      <c r="X6" s="27" t="s">
        <v>33</v>
      </c>
      <c r="Y6" s="27" t="s">
        <v>34</v>
      </c>
      <c r="Z6" s="27" t="s">
        <v>35</v>
      </c>
      <c r="AA6" s="27" t="s">
        <v>36</v>
      </c>
      <c r="AB6" s="27" t="s">
        <v>37</v>
      </c>
      <c r="AC6" s="27" t="s">
        <v>38</v>
      </c>
      <c r="AD6" s="27" t="s">
        <v>39</v>
      </c>
      <c r="AE6" s="27" t="s">
        <v>40</v>
      </c>
      <c r="AF6" s="27" t="s">
        <v>41</v>
      </c>
      <c r="AG6" s="27" t="s">
        <v>42</v>
      </c>
      <c r="AH6" s="12" t="s">
        <v>64</v>
      </c>
    </row>
    <row r="7" spans="2:34" ht="30" customHeight="1" x14ac:dyDescent="0.2">
      <c r="B7" t="str">
        <f>Werknemersnamen!B4</f>
        <v>Biragoye Isaac</v>
      </c>
      <c r="C7" s="25" t="s">
        <v>63</v>
      </c>
      <c r="D7" s="25" t="s">
        <v>63</v>
      </c>
      <c r="E7" s="25" t="s">
        <v>63</v>
      </c>
      <c r="F7" s="25" t="s">
        <v>72</v>
      </c>
      <c r="G7" s="26" t="s">
        <v>63</v>
      </c>
      <c r="H7" s="25" t="s">
        <v>63</v>
      </c>
      <c r="I7" s="25" t="s">
        <v>63</v>
      </c>
      <c r="J7" s="25" t="s">
        <v>63</v>
      </c>
      <c r="K7" s="25" t="s">
        <v>63</v>
      </c>
      <c r="L7" s="25" t="s">
        <v>63</v>
      </c>
      <c r="M7" s="25" t="s">
        <v>72</v>
      </c>
      <c r="N7" s="26" t="s">
        <v>63</v>
      </c>
      <c r="O7" s="25" t="s">
        <v>63</v>
      </c>
      <c r="P7" s="25" t="s">
        <v>63</v>
      </c>
      <c r="Q7" s="25" t="s">
        <v>63</v>
      </c>
      <c r="R7" s="25" t="s">
        <v>63</v>
      </c>
      <c r="S7" s="25" t="s">
        <v>63</v>
      </c>
      <c r="T7" s="25" t="s">
        <v>72</v>
      </c>
      <c r="U7" s="26" t="s">
        <v>63</v>
      </c>
      <c r="V7" s="25" t="s">
        <v>63</v>
      </c>
      <c r="W7" s="25" t="s">
        <v>63</v>
      </c>
      <c r="X7" s="25" t="s">
        <v>63</v>
      </c>
      <c r="Y7" s="25" t="s">
        <v>63</v>
      </c>
      <c r="Z7" s="25" t="s">
        <v>63</v>
      </c>
      <c r="AA7" s="25" t="s">
        <v>72</v>
      </c>
      <c r="AB7" s="26" t="s">
        <v>63</v>
      </c>
      <c r="AC7" s="25" t="s">
        <v>63</v>
      </c>
      <c r="AD7" s="25" t="s">
        <v>63</v>
      </c>
      <c r="AE7" s="25" t="s">
        <v>63</v>
      </c>
      <c r="AF7" s="25" t="s">
        <v>63</v>
      </c>
      <c r="AG7" s="25" t="s">
        <v>63</v>
      </c>
      <c r="AH7" s="7">
        <f ca="1">SUM($C$7:$AH$7)</f>
        <v>0</v>
      </c>
    </row>
    <row r="8" spans="2:34" ht="30" customHeight="1" x14ac:dyDescent="0.2">
      <c r="B8" t="str">
        <f>Werknemersnamen!B5</f>
        <v>Cinar Rafet</v>
      </c>
      <c r="C8" s="25" t="s">
        <v>63</v>
      </c>
      <c r="D8" s="25" t="s">
        <v>63</v>
      </c>
      <c r="E8" s="25" t="s">
        <v>63</v>
      </c>
      <c r="F8" s="25" t="s">
        <v>72</v>
      </c>
      <c r="G8" s="26" t="s">
        <v>63</v>
      </c>
      <c r="H8" s="25" t="s">
        <v>63</v>
      </c>
      <c r="I8" s="25" t="s">
        <v>63</v>
      </c>
      <c r="J8" s="25" t="s">
        <v>63</v>
      </c>
      <c r="K8" s="25" t="s">
        <v>63</v>
      </c>
      <c r="L8" s="25" t="s">
        <v>63</v>
      </c>
      <c r="M8" s="25" t="s">
        <v>72</v>
      </c>
      <c r="N8" s="26" t="s">
        <v>63</v>
      </c>
      <c r="O8" s="25" t="s">
        <v>63</v>
      </c>
      <c r="P8" s="25" t="s">
        <v>63</v>
      </c>
      <c r="Q8" s="25" t="s">
        <v>63</v>
      </c>
      <c r="R8" s="25" t="s">
        <v>63</v>
      </c>
      <c r="S8" s="25" t="s">
        <v>63</v>
      </c>
      <c r="T8" s="25" t="s">
        <v>72</v>
      </c>
      <c r="U8" s="26" t="s">
        <v>63</v>
      </c>
      <c r="V8" s="25" t="s">
        <v>63</v>
      </c>
      <c r="W8" s="25" t="s">
        <v>63</v>
      </c>
      <c r="X8" s="25" t="s">
        <v>63</v>
      </c>
      <c r="Y8" s="25" t="s">
        <v>63</v>
      </c>
      <c r="Z8" s="25" t="s">
        <v>63</v>
      </c>
      <c r="AA8" s="25" t="s">
        <v>72</v>
      </c>
      <c r="AB8" s="26" t="s">
        <v>63</v>
      </c>
      <c r="AC8" s="25" t="s">
        <v>63</v>
      </c>
      <c r="AD8" s="25" t="s">
        <v>63</v>
      </c>
      <c r="AE8" s="25" t="s">
        <v>63</v>
      </c>
      <c r="AF8" s="25" t="s">
        <v>63</v>
      </c>
      <c r="AG8" s="25" t="s">
        <v>63</v>
      </c>
      <c r="AH8" s="7">
        <f ca="1">SUM($C$8:$AH$8)</f>
        <v>0</v>
      </c>
    </row>
    <row r="9" spans="2:34" ht="30" customHeight="1" x14ac:dyDescent="0.2">
      <c r="B9" t="str">
        <f>Werknemersnamen!B6</f>
        <v>Cygora Lukasz Jan</v>
      </c>
      <c r="C9" s="25" t="s">
        <v>63</v>
      </c>
      <c r="D9" s="25" t="s">
        <v>63</v>
      </c>
      <c r="E9" s="25" t="s">
        <v>63</v>
      </c>
      <c r="F9" s="25" t="s">
        <v>72</v>
      </c>
      <c r="G9" s="26" t="s">
        <v>63</v>
      </c>
      <c r="H9" s="25" t="s">
        <v>63</v>
      </c>
      <c r="I9" s="25" t="s">
        <v>63</v>
      </c>
      <c r="J9" s="25" t="s">
        <v>63</v>
      </c>
      <c r="K9" s="25" t="s">
        <v>63</v>
      </c>
      <c r="L9" s="25" t="s">
        <v>63</v>
      </c>
      <c r="M9" s="25" t="s">
        <v>72</v>
      </c>
      <c r="N9" s="26" t="s">
        <v>63</v>
      </c>
      <c r="O9" s="25" t="s">
        <v>63</v>
      </c>
      <c r="P9" s="25" t="s">
        <v>63</v>
      </c>
      <c r="Q9" s="25" t="s">
        <v>63</v>
      </c>
      <c r="R9" s="25" t="s">
        <v>63</v>
      </c>
      <c r="S9" s="25" t="s">
        <v>63</v>
      </c>
      <c r="T9" s="25" t="s">
        <v>72</v>
      </c>
      <c r="U9" s="26" t="s">
        <v>63</v>
      </c>
      <c r="V9" s="25" t="s">
        <v>63</v>
      </c>
      <c r="W9" s="25" t="s">
        <v>63</v>
      </c>
      <c r="X9" s="25" t="s">
        <v>63</v>
      </c>
      <c r="Y9" s="25" t="s">
        <v>63</v>
      </c>
      <c r="Z9" s="25" t="s">
        <v>63</v>
      </c>
      <c r="AA9" s="25" t="s">
        <v>72</v>
      </c>
      <c r="AB9" s="26" t="s">
        <v>63</v>
      </c>
      <c r="AC9" s="25" t="s">
        <v>63</v>
      </c>
      <c r="AD9" s="25" t="s">
        <v>63</v>
      </c>
      <c r="AE9" s="25" t="s">
        <v>63</v>
      </c>
      <c r="AF9" s="25" t="s">
        <v>63</v>
      </c>
      <c r="AG9" s="25" t="s">
        <v>63</v>
      </c>
      <c r="AH9" s="7">
        <f ca="1">SUM($C$9:$AH$9)</f>
        <v>0</v>
      </c>
    </row>
    <row r="10" spans="2:34" ht="30" customHeight="1" x14ac:dyDescent="0.2">
      <c r="B10" t="str">
        <f>Werknemersnamen!B7</f>
        <v>El Karmoudi Taufik</v>
      </c>
      <c r="C10" s="25" t="s">
        <v>63</v>
      </c>
      <c r="D10" s="25" t="s">
        <v>63</v>
      </c>
      <c r="E10" s="25" t="s">
        <v>63</v>
      </c>
      <c r="F10" s="25" t="s">
        <v>72</v>
      </c>
      <c r="G10" s="26" t="s">
        <v>63</v>
      </c>
      <c r="H10" s="25" t="s">
        <v>63</v>
      </c>
      <c r="I10" s="25" t="s">
        <v>63</v>
      </c>
      <c r="J10" s="25" t="s">
        <v>63</v>
      </c>
      <c r="K10" s="25" t="s">
        <v>63</v>
      </c>
      <c r="L10" s="25" t="s">
        <v>63</v>
      </c>
      <c r="M10" s="25" t="s">
        <v>72</v>
      </c>
      <c r="N10" s="26" t="s">
        <v>63</v>
      </c>
      <c r="O10" s="25" t="s">
        <v>63</v>
      </c>
      <c r="P10" s="25" t="s">
        <v>63</v>
      </c>
      <c r="Q10" s="25" t="s">
        <v>63</v>
      </c>
      <c r="R10" s="25" t="s">
        <v>63</v>
      </c>
      <c r="S10" s="25" t="s">
        <v>63</v>
      </c>
      <c r="T10" s="25" t="s">
        <v>72</v>
      </c>
      <c r="U10" s="26" t="s">
        <v>63</v>
      </c>
      <c r="V10" s="25" t="s">
        <v>63</v>
      </c>
      <c r="W10" s="25" t="s">
        <v>63</v>
      </c>
      <c r="X10" s="25" t="s">
        <v>63</v>
      </c>
      <c r="Y10" s="25" t="s">
        <v>63</v>
      </c>
      <c r="Z10" s="25" t="s">
        <v>63</v>
      </c>
      <c r="AA10" s="25" t="s">
        <v>72</v>
      </c>
      <c r="AB10" s="26" t="s">
        <v>63</v>
      </c>
      <c r="AC10" s="25" t="s">
        <v>63</v>
      </c>
      <c r="AD10" s="25" t="s">
        <v>63</v>
      </c>
      <c r="AE10" s="25" t="s">
        <v>63</v>
      </c>
      <c r="AF10" s="25" t="s">
        <v>63</v>
      </c>
      <c r="AG10" s="25" t="s">
        <v>63</v>
      </c>
      <c r="AH10" s="7">
        <f ca="1">SUM($C$10:$AH$10)</f>
        <v>0</v>
      </c>
    </row>
    <row r="11" spans="2:34" ht="30" customHeight="1" x14ac:dyDescent="0.2">
      <c r="B11" t="str">
        <f>Werknemersnamen!B8</f>
        <v>El Maazouzi Abdelilah</v>
      </c>
      <c r="C11" s="25" t="s">
        <v>63</v>
      </c>
      <c r="D11" s="25" t="s">
        <v>63</v>
      </c>
      <c r="E11" s="25" t="s">
        <v>63</v>
      </c>
      <c r="F11" s="25" t="s">
        <v>72</v>
      </c>
      <c r="G11" s="26" t="s">
        <v>63</v>
      </c>
      <c r="H11" s="25" t="s">
        <v>63</v>
      </c>
      <c r="I11" s="25" t="s">
        <v>63</v>
      </c>
      <c r="J11" s="25" t="s">
        <v>63</v>
      </c>
      <c r="K11" s="25" t="s">
        <v>63</v>
      </c>
      <c r="L11" s="25" t="s">
        <v>63</v>
      </c>
      <c r="M11" s="25" t="s">
        <v>72</v>
      </c>
      <c r="N11" s="26" t="s">
        <v>63</v>
      </c>
      <c r="O11" s="25" t="s">
        <v>63</v>
      </c>
      <c r="P11" s="25" t="s">
        <v>63</v>
      </c>
      <c r="Q11" s="25" t="s">
        <v>63</v>
      </c>
      <c r="R11" s="25" t="s">
        <v>63</v>
      </c>
      <c r="S11" s="25" t="s">
        <v>63</v>
      </c>
      <c r="T11" s="25" t="s">
        <v>72</v>
      </c>
      <c r="U11" s="26" t="s">
        <v>63</v>
      </c>
      <c r="V11" s="25" t="s">
        <v>63</v>
      </c>
      <c r="W11" s="25" t="s">
        <v>63</v>
      </c>
      <c r="X11" s="25" t="s">
        <v>63</v>
      </c>
      <c r="Y11" s="25" t="s">
        <v>63</v>
      </c>
      <c r="Z11" s="25" t="s">
        <v>63</v>
      </c>
      <c r="AA11" s="25" t="s">
        <v>72</v>
      </c>
      <c r="AB11" s="26" t="s">
        <v>63</v>
      </c>
      <c r="AC11" s="25" t="s">
        <v>63</v>
      </c>
      <c r="AD11" s="25" t="s">
        <v>63</v>
      </c>
      <c r="AE11" s="25" t="s">
        <v>63</v>
      </c>
      <c r="AF11" s="25" t="s">
        <v>63</v>
      </c>
      <c r="AG11" s="25" t="s">
        <v>63</v>
      </c>
      <c r="AH11" s="7">
        <f ca="1">SUM($C$11:$AH$11)</f>
        <v>0</v>
      </c>
    </row>
    <row r="12" spans="2:34" ht="30" customHeight="1" x14ac:dyDescent="0.2">
      <c r="B12" t="str">
        <f>Werknemersnamen!B9</f>
        <v>Gultekin Muhammed A</v>
      </c>
      <c r="C12" s="25" t="s">
        <v>63</v>
      </c>
      <c r="D12" s="25" t="s">
        <v>63</v>
      </c>
      <c r="E12" s="25" t="s">
        <v>63</v>
      </c>
      <c r="F12" s="25" t="s">
        <v>72</v>
      </c>
      <c r="G12" s="26" t="s">
        <v>63</v>
      </c>
      <c r="H12" s="25" t="s">
        <v>63</v>
      </c>
      <c r="I12" s="25" t="s">
        <v>63</v>
      </c>
      <c r="J12" s="25" t="s">
        <v>63</v>
      </c>
      <c r="K12" s="25" t="s">
        <v>63</v>
      </c>
      <c r="L12" s="25" t="s">
        <v>63</v>
      </c>
      <c r="M12" s="25" t="s">
        <v>72</v>
      </c>
      <c r="N12" s="26" t="s">
        <v>63</v>
      </c>
      <c r="O12" s="25" t="s">
        <v>63</v>
      </c>
      <c r="P12" s="25" t="s">
        <v>63</v>
      </c>
      <c r="Q12" s="25" t="s">
        <v>63</v>
      </c>
      <c r="R12" s="25" t="s">
        <v>63</v>
      </c>
      <c r="S12" s="25" t="s">
        <v>63</v>
      </c>
      <c r="T12" s="25" t="s">
        <v>72</v>
      </c>
      <c r="U12" s="26" t="s">
        <v>63</v>
      </c>
      <c r="V12" s="25" t="s">
        <v>63</v>
      </c>
      <c r="W12" s="25" t="s">
        <v>63</v>
      </c>
      <c r="X12" s="25" t="s">
        <v>63</v>
      </c>
      <c r="Y12" s="25" t="s">
        <v>63</v>
      </c>
      <c r="Z12" s="25" t="s">
        <v>63</v>
      </c>
      <c r="AA12" s="25" t="s">
        <v>72</v>
      </c>
      <c r="AB12" s="26" t="s">
        <v>63</v>
      </c>
      <c r="AC12" s="25" t="s">
        <v>63</v>
      </c>
      <c r="AD12" s="25" t="s">
        <v>63</v>
      </c>
      <c r="AE12" s="25" t="s">
        <v>63</v>
      </c>
      <c r="AF12" s="25" t="s">
        <v>63</v>
      </c>
      <c r="AG12" s="25" t="s">
        <v>63</v>
      </c>
      <c r="AH12" s="7">
        <f ca="1">SUM($C$12:$AH$12)</f>
        <v>0</v>
      </c>
    </row>
    <row r="13" spans="2:34" ht="30" customHeight="1" x14ac:dyDescent="0.2">
      <c r="B13" t="str">
        <f>Werknemersnamen!B10</f>
        <v>Gultekin Muhammed E</v>
      </c>
      <c r="C13" s="25" t="s">
        <v>63</v>
      </c>
      <c r="D13" s="25" t="s">
        <v>63</v>
      </c>
      <c r="E13" s="25" t="s">
        <v>63</v>
      </c>
      <c r="F13" s="25" t="s">
        <v>72</v>
      </c>
      <c r="G13" s="26" t="s">
        <v>63</v>
      </c>
      <c r="H13" s="25" t="s">
        <v>63</v>
      </c>
      <c r="I13" s="25" t="s">
        <v>63</v>
      </c>
      <c r="J13" s="25" t="s">
        <v>63</v>
      </c>
      <c r="K13" s="25" t="s">
        <v>63</v>
      </c>
      <c r="L13" s="25" t="s">
        <v>63</v>
      </c>
      <c r="M13" s="25" t="s">
        <v>72</v>
      </c>
      <c r="N13" s="26" t="s">
        <v>63</v>
      </c>
      <c r="O13" s="25" t="s">
        <v>63</v>
      </c>
      <c r="P13" s="25" t="s">
        <v>63</v>
      </c>
      <c r="Q13" s="25" t="s">
        <v>63</v>
      </c>
      <c r="R13" s="25" t="s">
        <v>63</v>
      </c>
      <c r="S13" s="25" t="s">
        <v>63</v>
      </c>
      <c r="T13" s="25" t="s">
        <v>72</v>
      </c>
      <c r="U13" s="26" t="s">
        <v>63</v>
      </c>
      <c r="V13" s="25" t="s">
        <v>63</v>
      </c>
      <c r="W13" s="25" t="s">
        <v>63</v>
      </c>
      <c r="X13" s="25" t="s">
        <v>63</v>
      </c>
      <c r="Y13" s="25" t="s">
        <v>63</v>
      </c>
      <c r="Z13" s="25" t="s">
        <v>63</v>
      </c>
      <c r="AA13" s="25" t="s">
        <v>72</v>
      </c>
      <c r="AB13" s="26" t="s">
        <v>63</v>
      </c>
      <c r="AC13" s="25" t="s">
        <v>63</v>
      </c>
      <c r="AD13" s="25" t="s">
        <v>63</v>
      </c>
      <c r="AE13" s="25" t="s">
        <v>63</v>
      </c>
      <c r="AF13" s="25" t="s">
        <v>63</v>
      </c>
      <c r="AG13" s="25" t="s">
        <v>63</v>
      </c>
      <c r="AH13" s="7">
        <f ca="1">SUM($C$13:$AH$13)</f>
        <v>0</v>
      </c>
    </row>
    <row r="14" spans="2:34" ht="30" customHeight="1" x14ac:dyDescent="0.2">
      <c r="B14" t="str">
        <f>Werknemersnamen!B11</f>
        <v>Irakoze Patrick</v>
      </c>
      <c r="C14" s="25" t="s">
        <v>63</v>
      </c>
      <c r="D14" s="25" t="s">
        <v>63</v>
      </c>
      <c r="E14" s="25" t="s">
        <v>63</v>
      </c>
      <c r="F14" s="25" t="s">
        <v>72</v>
      </c>
      <c r="G14" s="26" t="s">
        <v>63</v>
      </c>
      <c r="H14" s="25" t="s">
        <v>63</v>
      </c>
      <c r="I14" s="25" t="s">
        <v>63</v>
      </c>
      <c r="J14" s="25" t="s">
        <v>63</v>
      </c>
      <c r="K14" s="25" t="s">
        <v>63</v>
      </c>
      <c r="L14" s="25" t="s">
        <v>63</v>
      </c>
      <c r="M14" s="25" t="s">
        <v>72</v>
      </c>
      <c r="N14" s="26" t="s">
        <v>63</v>
      </c>
      <c r="O14" s="25" t="s">
        <v>63</v>
      </c>
      <c r="P14" s="25" t="s">
        <v>63</v>
      </c>
      <c r="Q14" s="25" t="s">
        <v>63</v>
      </c>
      <c r="R14" s="25" t="s">
        <v>63</v>
      </c>
      <c r="S14" s="25" t="s">
        <v>63</v>
      </c>
      <c r="T14" s="25" t="s">
        <v>72</v>
      </c>
      <c r="U14" s="26" t="s">
        <v>63</v>
      </c>
      <c r="V14" s="25" t="s">
        <v>63</v>
      </c>
      <c r="W14" s="25" t="s">
        <v>63</v>
      </c>
      <c r="X14" s="25" t="s">
        <v>63</v>
      </c>
      <c r="Y14" s="25" t="s">
        <v>63</v>
      </c>
      <c r="Z14" s="25" t="s">
        <v>63</v>
      </c>
      <c r="AA14" s="25" t="s">
        <v>72</v>
      </c>
      <c r="AB14" s="26" t="s">
        <v>63</v>
      </c>
      <c r="AC14" s="25" t="s">
        <v>63</v>
      </c>
      <c r="AD14" s="25" t="s">
        <v>63</v>
      </c>
      <c r="AE14" s="25" t="s">
        <v>63</v>
      </c>
      <c r="AF14" s="25" t="s">
        <v>63</v>
      </c>
      <c r="AG14" s="25" t="s">
        <v>63</v>
      </c>
      <c r="AH14" s="7">
        <f ca="1">SUM($C$14:$AH$14)</f>
        <v>0</v>
      </c>
    </row>
    <row r="15" spans="2:34" ht="30" customHeight="1" x14ac:dyDescent="0.2">
      <c r="B15" t="str">
        <f>Werknemersnamen!B12</f>
        <v>Kacar Abdullah</v>
      </c>
      <c r="C15" s="25" t="s">
        <v>63</v>
      </c>
      <c r="D15" s="25" t="s">
        <v>63</v>
      </c>
      <c r="E15" s="25" t="s">
        <v>63</v>
      </c>
      <c r="F15" s="25" t="s">
        <v>72</v>
      </c>
      <c r="G15" s="26" t="s">
        <v>63</v>
      </c>
      <c r="H15" s="25" t="s">
        <v>63</v>
      </c>
      <c r="I15" s="25" t="s">
        <v>63</v>
      </c>
      <c r="J15" s="25" t="s">
        <v>63</v>
      </c>
      <c r="K15" s="25" t="s">
        <v>63</v>
      </c>
      <c r="L15" s="25" t="s">
        <v>63</v>
      </c>
      <c r="M15" s="25" t="s">
        <v>72</v>
      </c>
      <c r="N15" s="26" t="s">
        <v>63</v>
      </c>
      <c r="O15" s="25" t="s">
        <v>63</v>
      </c>
      <c r="P15" s="25" t="s">
        <v>63</v>
      </c>
      <c r="Q15" s="25" t="s">
        <v>63</v>
      </c>
      <c r="R15" s="25" t="s">
        <v>63</v>
      </c>
      <c r="S15" s="25" t="s">
        <v>63</v>
      </c>
      <c r="T15" s="25" t="s">
        <v>72</v>
      </c>
      <c r="U15" s="26" t="s">
        <v>63</v>
      </c>
      <c r="V15" s="25" t="s">
        <v>63</v>
      </c>
      <c r="W15" s="25" t="s">
        <v>63</v>
      </c>
      <c r="X15" s="25" t="s">
        <v>63</v>
      </c>
      <c r="Y15" s="25" t="s">
        <v>63</v>
      </c>
      <c r="Z15" s="25" t="s">
        <v>63</v>
      </c>
      <c r="AA15" s="25" t="s">
        <v>72</v>
      </c>
      <c r="AB15" s="26" t="s">
        <v>63</v>
      </c>
      <c r="AC15" s="25" t="s">
        <v>63</v>
      </c>
      <c r="AD15" s="25" t="s">
        <v>63</v>
      </c>
      <c r="AE15" s="25" t="s">
        <v>63</v>
      </c>
      <c r="AF15" s="25" t="s">
        <v>63</v>
      </c>
      <c r="AG15" s="25" t="s">
        <v>63</v>
      </c>
      <c r="AH15" s="7">
        <f ca="1">SUM($C$15:$AH$15)</f>
        <v>0</v>
      </c>
    </row>
    <row r="16" spans="2:34" ht="30" customHeight="1" x14ac:dyDescent="0.2">
      <c r="B16" t="str">
        <f>Werknemersnamen!B13</f>
        <v>Kefes Levent</v>
      </c>
      <c r="C16" s="25" t="s">
        <v>63</v>
      </c>
      <c r="D16" s="25" t="s">
        <v>63</v>
      </c>
      <c r="E16" s="25" t="s">
        <v>63</v>
      </c>
      <c r="F16" s="25" t="s">
        <v>72</v>
      </c>
      <c r="G16" s="26" t="s">
        <v>63</v>
      </c>
      <c r="H16" s="25" t="s">
        <v>63</v>
      </c>
      <c r="I16" s="25" t="s">
        <v>63</v>
      </c>
      <c r="J16" s="25" t="s">
        <v>63</v>
      </c>
      <c r="K16" s="25" t="s">
        <v>63</v>
      </c>
      <c r="L16" s="25" t="s">
        <v>63</v>
      </c>
      <c r="M16" s="25" t="s">
        <v>72</v>
      </c>
      <c r="N16" s="26" t="s">
        <v>63</v>
      </c>
      <c r="O16" s="25" t="s">
        <v>63</v>
      </c>
      <c r="P16" s="25" t="s">
        <v>63</v>
      </c>
      <c r="Q16" s="25" t="s">
        <v>63</v>
      </c>
      <c r="R16" s="25" t="s">
        <v>63</v>
      </c>
      <c r="S16" s="25" t="s">
        <v>63</v>
      </c>
      <c r="T16" s="25" t="s">
        <v>72</v>
      </c>
      <c r="U16" s="26" t="s">
        <v>63</v>
      </c>
      <c r="V16" s="25" t="s">
        <v>63</v>
      </c>
      <c r="W16" s="25" t="s">
        <v>63</v>
      </c>
      <c r="X16" s="25" t="s">
        <v>63</v>
      </c>
      <c r="Y16" s="25" t="s">
        <v>63</v>
      </c>
      <c r="Z16" s="25" t="s">
        <v>63</v>
      </c>
      <c r="AA16" s="25" t="s">
        <v>72</v>
      </c>
      <c r="AB16" s="26" t="s">
        <v>63</v>
      </c>
      <c r="AC16" s="25" t="s">
        <v>63</v>
      </c>
      <c r="AD16" s="25" t="s">
        <v>63</v>
      </c>
      <c r="AE16" s="25" t="s">
        <v>63</v>
      </c>
      <c r="AF16" s="25" t="s">
        <v>63</v>
      </c>
      <c r="AG16" s="25" t="s">
        <v>63</v>
      </c>
      <c r="AH16" s="7">
        <f ca="1">SUM($C$16:$AH$16)</f>
        <v>0</v>
      </c>
    </row>
    <row r="17" spans="2:34" ht="30" customHeight="1" x14ac:dyDescent="0.2">
      <c r="B17" t="str">
        <f>Werknemersnamen!B14</f>
        <v>Moualdine Ali</v>
      </c>
      <c r="C17" s="25" t="s">
        <v>63</v>
      </c>
      <c r="D17" s="25" t="s">
        <v>63</v>
      </c>
      <c r="E17" s="25" t="s">
        <v>63</v>
      </c>
      <c r="F17" s="25" t="s">
        <v>72</v>
      </c>
      <c r="G17" s="26" t="s">
        <v>63</v>
      </c>
      <c r="H17" s="25" t="s">
        <v>63</v>
      </c>
      <c r="I17" s="25" t="s">
        <v>63</v>
      </c>
      <c r="J17" s="25" t="s">
        <v>63</v>
      </c>
      <c r="K17" s="25" t="s">
        <v>63</v>
      </c>
      <c r="L17" s="25" t="s">
        <v>63</v>
      </c>
      <c r="M17" s="25" t="s">
        <v>72</v>
      </c>
      <c r="N17" s="26" t="s">
        <v>63</v>
      </c>
      <c r="O17" s="25" t="s">
        <v>63</v>
      </c>
      <c r="P17" s="25" t="s">
        <v>63</v>
      </c>
      <c r="Q17" s="25" t="s">
        <v>63</v>
      </c>
      <c r="R17" s="25" t="s">
        <v>63</v>
      </c>
      <c r="S17" s="25" t="s">
        <v>63</v>
      </c>
      <c r="T17" s="25" t="s">
        <v>72</v>
      </c>
      <c r="U17" s="26" t="s">
        <v>63</v>
      </c>
      <c r="V17" s="25" t="s">
        <v>63</v>
      </c>
      <c r="W17" s="25" t="s">
        <v>63</v>
      </c>
      <c r="X17" s="25" t="s">
        <v>63</v>
      </c>
      <c r="Y17" s="25" t="s">
        <v>63</v>
      </c>
      <c r="Z17" s="25" t="s">
        <v>63</v>
      </c>
      <c r="AA17" s="25" t="s">
        <v>72</v>
      </c>
      <c r="AB17" s="26" t="s">
        <v>63</v>
      </c>
      <c r="AC17" s="25" t="s">
        <v>63</v>
      </c>
      <c r="AD17" s="25" t="s">
        <v>63</v>
      </c>
      <c r="AE17" s="25" t="s">
        <v>63</v>
      </c>
      <c r="AF17" s="25" t="s">
        <v>63</v>
      </c>
      <c r="AG17" s="25" t="s">
        <v>63</v>
      </c>
      <c r="AH17" s="7">
        <f ca="1">SUM($C$17:$AH$17)</f>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ca="1">SUM($C$18:$AH$18)</f>
        <v>0</v>
      </c>
    </row>
    <row r="19" spans="2:34" ht="30" customHeight="1" x14ac:dyDescent="0.2">
      <c r="AH19">
        <f ca="1">SUM($C$19:$AH$19)</f>
        <v>0</v>
      </c>
    </row>
    <row r="20" spans="2:34" ht="30" customHeight="1" x14ac:dyDescent="0.2">
      <c r="B20" t="s">
        <v>85</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conditionalFormatting sqref="C7:AG18">
    <cfRule type="expression" priority="1" stopIfTrue="1">
      <formula>C7=""</formula>
    </cfRule>
    <cfRule type="expression" dxfId="454" priority="2" stopIfTrue="1">
      <formula>C7=KeyCustom2</formula>
    </cfRule>
    <cfRule type="expression" dxfId="453" priority="3" stopIfTrue="1">
      <formula>C7=KeyCustom1</formula>
    </cfRule>
    <cfRule type="expression" dxfId="452" priority="4" stopIfTrue="1">
      <formula>C7=KeySick</formula>
    </cfRule>
    <cfRule type="expression" dxfId="451" priority="5" stopIfTrue="1">
      <formula>C7=KeyPersonal</formula>
    </cfRule>
    <cfRule type="expression" dxfId="450"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{300D337B-D18C-974C-B704-24EE6316BD2C}</x14:id>
        </ext>
      </extLst>
    </cfRule>
  </conditionalFormatting>
  <dataValidations count="14">
    <dataValidation allowBlank="1" showInputMessage="1" showErrorMessage="1" prompt="De dagen van de maand in deze rij worden automatisch gegenereerd. Voer voor elke dag van de maand in elke kolom het verzuim en het type verzuim van een werknemer in. Leeg betekent geen verzuim" sqref="C6" xr:uid="{A54EAF80-6F55-954B-B238-A0311F1AD56F}"/>
    <dataValidation allowBlank="1" showInputMessage="1" showErrorMessage="1" prompt="Deze rij definieert de sleutels die worden gebruikt in de tabel: cel C2 is Vakantie, G2 is Persoonlijk en K2 is Ziekteverlof. De cellen N2 en R2 kunnen worden aangepast" sqref="B2" xr:uid="{00000000-0002-0000-0400-000002000000}"/>
    <dataValidation allowBlank="1" showInputMessage="1" showErrorMessage="1" prompt="Voer links een label in om de aangepaste sleutel te beschrijven" sqref="O2:Q2 S2:U2" xr:uid="{00000000-0002-0000-0400-000003000000}"/>
    <dataValidation allowBlank="1" showInputMessage="1" showErrorMessage="1" prompt="Voer een letter in en pas rechts het label aan om een ander sleutelitem toe te voegen" sqref="N2 R2" xr:uid="{00000000-0002-0000-0400-000004000000}"/>
    <dataValidation allowBlank="1" showInputMessage="1" showErrorMessage="1" prompt="De letter &quot;Z&quot; geeft afwezigheid vanwege ziekte aan" sqref="K2" xr:uid="{00000000-0002-0000-0400-000005000000}"/>
    <dataValidation allowBlank="1" showInputMessage="1" showErrorMessage="1" prompt="De letter &quot;P&quot; geeft afwezigheid vanwege persoonlijke redenen aan" sqref="G2" xr:uid="{00000000-0002-0000-0400-000006000000}"/>
    <dataValidation allowBlank="1" showInputMessage="1" showErrorMessage="1" prompt="De letter &quot;V&quot; geeft afwezigheid vanwege vakantie aan" sqref="C2" xr:uid="{00000000-0002-0000-0400-000007000000}"/>
    <dataValidation allowBlank="1" showInputMessage="1" showErrorMessage="1" prompt="De titel wordt automatisch bijgewerkt in deze cel. Als u de titel wilt wijzigen, werk B1 in het januari-werkblad bij" sqref="B1" xr:uid="{00000000-0002-0000-0400-000008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9DBCC73D-ED46-2149-8453-C57B0706CC6B}"/>
    <dataValidation allowBlank="1" showInputMessage="1" showErrorMessage="1" prompt="Houd de afwezigheid in mei in dit werkblad bij" sqref="A1" xr:uid="{00000000-0002-0000-0400-00000A000000}"/>
    <dataValidation allowBlank="1" showInputMessage="1" showErrorMessage="1" prompt="Maand van dit verzuimschema. Werk het jaar bij in cel AH4. Houd de totalen bij per maand in de laatste cel van de tabel. Namen van werknemers invoeren in tabelkolom B" sqref="B4" xr:uid="{B7F89C98-8E2A-8E4B-9144-006475751B9D}"/>
    <dataValidation allowBlank="1" showInputMessage="1" showErrorMessage="1" prompt="Berekent automatisch het totaal aantal dagen dat een werknemer in deze maand niet afwezig was" sqref="AH6" xr:uid="{1FE7C930-2FF3-414E-A679-E84D403FCE51}"/>
    <dataValidation allowBlank="1" showInputMessage="1" showErrorMessage="1" prompt="Weekdagen in deze rij worden automatisch bijgewerkt voor de maand, overeenkomstig het jaar dat is ingevoerd in AH4. Elke dag van de maand is een kolom om het verzuim en type verzuim van een werknemer te noteren" sqref="C5 F5 M5 T5 AA5" xr:uid="{0BDE62F5-2983-7841-A869-66E643EA1C9D}"/>
    <dataValidation allowBlank="1" showInputMessage="1" showErrorMessage="1" prompt="Voer het jaar in deze cel in" sqref="AH4" xr:uid="{8FB9A456-9054-4049-B114-A8247C5BBDA2}"/>
  </dataValidations>
  <printOptions horizontalCentered="1"/>
  <pageMargins left="0.25" right="0.25" top="0.75" bottom="0.75" header="0.3" footer="0.3"/>
  <pageSetup paperSize="9" scale="72" fitToHeight="0" orientation="landscape" r:id="rId1"/>
  <headerFooter differentFirst="1">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300D337B-D18C-974C-B704-24EE6316BD2C}">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6">
    <tabColor theme="2"/>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47</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75</v>
      </c>
      <c r="D5" s="1" t="s">
        <v>76</v>
      </c>
      <c r="E5" s="1" t="s">
        <v>77</v>
      </c>
      <c r="F5" s="1" t="s">
        <v>78</v>
      </c>
      <c r="G5" s="1" t="s">
        <v>79</v>
      </c>
      <c r="H5" s="1" t="s">
        <v>73</v>
      </c>
      <c r="I5" s="1" t="s">
        <v>74</v>
      </c>
      <c r="J5" s="1" t="s">
        <v>75</v>
      </c>
      <c r="K5" s="1" t="s">
        <v>76</v>
      </c>
      <c r="L5" s="1" t="s">
        <v>77</v>
      </c>
      <c r="M5" s="1" t="s">
        <v>78</v>
      </c>
      <c r="N5" s="1" t="s">
        <v>79</v>
      </c>
      <c r="O5" s="1" t="s">
        <v>73</v>
      </c>
      <c r="P5" s="1" t="s">
        <v>74</v>
      </c>
      <c r="Q5" s="1" t="s">
        <v>75</v>
      </c>
      <c r="R5" s="1" t="s">
        <v>76</v>
      </c>
      <c r="S5" s="1" t="s">
        <v>77</v>
      </c>
      <c r="T5" s="1" t="s">
        <v>78</v>
      </c>
      <c r="U5" s="1" t="s">
        <v>79</v>
      </c>
      <c r="V5" s="1" t="s">
        <v>73</v>
      </c>
      <c r="W5" s="1" t="s">
        <v>74</v>
      </c>
      <c r="X5" s="1" t="s">
        <v>75</v>
      </c>
      <c r="Y5" s="1" t="s">
        <v>76</v>
      </c>
      <c r="Z5" s="1" t="s">
        <v>77</v>
      </c>
      <c r="AA5" s="1" t="s">
        <v>78</v>
      </c>
      <c r="AB5" s="1" t="s">
        <v>79</v>
      </c>
      <c r="AC5" s="1" t="s">
        <v>73</v>
      </c>
      <c r="AD5" s="1" t="s">
        <v>74</v>
      </c>
      <c r="AE5" s="1" t="s">
        <v>75</v>
      </c>
      <c r="AF5" s="1" t="s">
        <v>76</v>
      </c>
      <c r="AG5" s="1"/>
      <c r="AH5" s="8"/>
    </row>
    <row r="6" spans="2:34" ht="15" customHeight="1" x14ac:dyDescent="0.2">
      <c r="B6" s="11" t="s">
        <v>3</v>
      </c>
      <c r="C6" s="27" t="s">
        <v>5</v>
      </c>
      <c r="D6" s="27" t="s">
        <v>7</v>
      </c>
      <c r="E6" s="27" t="s">
        <v>8</v>
      </c>
      <c r="F6" s="27" t="s">
        <v>10</v>
      </c>
      <c r="G6" s="27" t="s">
        <v>12</v>
      </c>
      <c r="H6" s="27" t="s">
        <v>14</v>
      </c>
      <c r="I6" s="27" t="s">
        <v>15</v>
      </c>
      <c r="J6" s="27" t="s">
        <v>16</v>
      </c>
      <c r="K6" s="27" t="s">
        <v>17</v>
      </c>
      <c r="L6" s="27" t="s">
        <v>19</v>
      </c>
      <c r="M6" s="27" t="s">
        <v>20</v>
      </c>
      <c r="N6" s="27" t="s">
        <v>21</v>
      </c>
      <c r="O6" s="27" t="s">
        <v>23</v>
      </c>
      <c r="P6" s="27" t="s">
        <v>24</v>
      </c>
      <c r="Q6" s="27" t="s">
        <v>25</v>
      </c>
      <c r="R6" s="27" t="s">
        <v>26</v>
      </c>
      <c r="S6" s="27" t="s">
        <v>28</v>
      </c>
      <c r="T6" s="27" t="s">
        <v>29</v>
      </c>
      <c r="U6" s="27" t="s">
        <v>30</v>
      </c>
      <c r="V6" s="27" t="s">
        <v>31</v>
      </c>
      <c r="W6" s="27" t="s">
        <v>32</v>
      </c>
      <c r="X6" s="27" t="s">
        <v>33</v>
      </c>
      <c r="Y6" s="27" t="s">
        <v>34</v>
      </c>
      <c r="Z6" s="27" t="s">
        <v>35</v>
      </c>
      <c r="AA6" s="27" t="s">
        <v>36</v>
      </c>
      <c r="AB6" s="27" t="s">
        <v>37</v>
      </c>
      <c r="AC6" s="27" t="s">
        <v>38</v>
      </c>
      <c r="AD6" s="27" t="s">
        <v>39</v>
      </c>
      <c r="AE6" s="27" t="s">
        <v>40</v>
      </c>
      <c r="AF6" s="27" t="s">
        <v>41</v>
      </c>
      <c r="AG6" s="27" t="s">
        <v>42</v>
      </c>
      <c r="AH6" s="12" t="s">
        <v>64</v>
      </c>
    </row>
    <row r="7" spans="2:34" ht="30" customHeight="1" x14ac:dyDescent="0.2">
      <c r="B7" t="str">
        <f>Werknemersnamen!B4</f>
        <v>Biragoye Isaac</v>
      </c>
      <c r="C7" s="25" t="s">
        <v>72</v>
      </c>
      <c r="D7" s="25" t="s">
        <v>63</v>
      </c>
      <c r="E7" s="25" t="s">
        <v>63</v>
      </c>
      <c r="F7" s="25" t="s">
        <v>63</v>
      </c>
      <c r="G7" s="25" t="s">
        <v>63</v>
      </c>
      <c r="H7" s="25" t="s">
        <v>63</v>
      </c>
      <c r="I7" s="25" t="s">
        <v>63</v>
      </c>
      <c r="J7" s="25" t="s">
        <v>72</v>
      </c>
      <c r="K7" s="25" t="s">
        <v>63</v>
      </c>
      <c r="L7" s="25" t="s">
        <v>63</v>
      </c>
      <c r="M7" s="25" t="s">
        <v>63</v>
      </c>
      <c r="N7" s="25" t="s">
        <v>63</v>
      </c>
      <c r="O7" s="25" t="s">
        <v>63</v>
      </c>
      <c r="P7" s="25" t="s">
        <v>63</v>
      </c>
      <c r="Q7" s="25" t="s">
        <v>72</v>
      </c>
      <c r="R7" s="25" t="s">
        <v>63</v>
      </c>
      <c r="S7" s="25" t="s">
        <v>63</v>
      </c>
      <c r="T7" s="25" t="s">
        <v>63</v>
      </c>
      <c r="U7" s="25" t="s">
        <v>63</v>
      </c>
      <c r="V7" s="25" t="s">
        <v>63</v>
      </c>
      <c r="W7" s="25" t="s">
        <v>63</v>
      </c>
      <c r="X7" s="25" t="s">
        <v>72</v>
      </c>
      <c r="Y7" s="25" t="s">
        <v>63</v>
      </c>
      <c r="Z7" s="25" t="s">
        <v>63</v>
      </c>
      <c r="AA7" s="25" t="s">
        <v>63</v>
      </c>
      <c r="AB7" s="25" t="s">
        <v>63</v>
      </c>
      <c r="AC7" s="25" t="s">
        <v>63</v>
      </c>
      <c r="AD7" s="25" t="s">
        <v>63</v>
      </c>
      <c r="AE7" s="25" t="s">
        <v>72</v>
      </c>
      <c r="AF7" s="25" t="s">
        <v>63</v>
      </c>
      <c r="AG7" s="1"/>
      <c r="AH7" s="7">
        <f ca="1">SUM($C$7:$AH$7)</f>
        <v>0</v>
      </c>
    </row>
    <row r="8" spans="2:34" ht="30" customHeight="1" x14ac:dyDescent="0.2">
      <c r="B8" t="str">
        <f>Werknemersnamen!B5</f>
        <v>Cinar Rafet</v>
      </c>
      <c r="C8" s="25" t="s">
        <v>72</v>
      </c>
      <c r="D8" s="25" t="s">
        <v>63</v>
      </c>
      <c r="E8" s="25" t="s">
        <v>63</v>
      </c>
      <c r="F8" s="25" t="s">
        <v>63</v>
      </c>
      <c r="G8" s="25" t="s">
        <v>63</v>
      </c>
      <c r="H8" s="25" t="s">
        <v>63</v>
      </c>
      <c r="I8" s="25" t="s">
        <v>63</v>
      </c>
      <c r="J8" s="25" t="s">
        <v>72</v>
      </c>
      <c r="K8" s="25" t="s">
        <v>63</v>
      </c>
      <c r="L8" s="25" t="s">
        <v>63</v>
      </c>
      <c r="M8" s="25" t="s">
        <v>63</v>
      </c>
      <c r="N8" s="25" t="s">
        <v>63</v>
      </c>
      <c r="O8" s="25" t="s">
        <v>63</v>
      </c>
      <c r="P8" s="25" t="s">
        <v>63</v>
      </c>
      <c r="Q8" s="25" t="s">
        <v>72</v>
      </c>
      <c r="R8" s="25" t="s">
        <v>63</v>
      </c>
      <c r="S8" s="25" t="s">
        <v>63</v>
      </c>
      <c r="T8" s="25" t="s">
        <v>63</v>
      </c>
      <c r="U8" s="25" t="s">
        <v>63</v>
      </c>
      <c r="V8" s="25" t="s">
        <v>63</v>
      </c>
      <c r="W8" s="25" t="s">
        <v>63</v>
      </c>
      <c r="X8" s="25" t="s">
        <v>72</v>
      </c>
      <c r="Y8" s="25" t="s">
        <v>63</v>
      </c>
      <c r="Z8" s="25" t="s">
        <v>63</v>
      </c>
      <c r="AA8" s="25" t="s">
        <v>63</v>
      </c>
      <c r="AB8" s="25" t="s">
        <v>63</v>
      </c>
      <c r="AC8" s="25" t="s">
        <v>63</v>
      </c>
      <c r="AD8" s="25" t="s">
        <v>63</v>
      </c>
      <c r="AE8" s="25" t="s">
        <v>72</v>
      </c>
      <c r="AF8" s="25" t="s">
        <v>63</v>
      </c>
      <c r="AG8" s="1"/>
      <c r="AH8" s="7">
        <f ca="1">SUM($C$8:$AH$8)</f>
        <v>0</v>
      </c>
    </row>
    <row r="9" spans="2:34" ht="30" customHeight="1" x14ac:dyDescent="0.2">
      <c r="B9" t="str">
        <f>Werknemersnamen!B6</f>
        <v>Cygora Lukasz Jan</v>
      </c>
      <c r="C9" s="25" t="s">
        <v>72</v>
      </c>
      <c r="D9" s="25" t="s">
        <v>63</v>
      </c>
      <c r="E9" s="25" t="s">
        <v>63</v>
      </c>
      <c r="F9" s="25" t="s">
        <v>63</v>
      </c>
      <c r="G9" s="25" t="s">
        <v>63</v>
      </c>
      <c r="H9" s="25" t="s">
        <v>63</v>
      </c>
      <c r="I9" s="25" t="s">
        <v>63</v>
      </c>
      <c r="J9" s="25" t="s">
        <v>72</v>
      </c>
      <c r="K9" s="25" t="s">
        <v>63</v>
      </c>
      <c r="L9" s="25" t="s">
        <v>63</v>
      </c>
      <c r="M9" s="25" t="s">
        <v>63</v>
      </c>
      <c r="N9" s="25" t="s">
        <v>63</v>
      </c>
      <c r="O9" s="25" t="s">
        <v>63</v>
      </c>
      <c r="P9" s="25" t="s">
        <v>63</v>
      </c>
      <c r="Q9" s="25" t="s">
        <v>72</v>
      </c>
      <c r="R9" s="25" t="s">
        <v>63</v>
      </c>
      <c r="S9" s="25" t="s">
        <v>63</v>
      </c>
      <c r="T9" s="25" t="s">
        <v>63</v>
      </c>
      <c r="U9" s="25" t="s">
        <v>63</v>
      </c>
      <c r="V9" s="25" t="s">
        <v>63</v>
      </c>
      <c r="W9" s="25" t="s">
        <v>63</v>
      </c>
      <c r="X9" s="25" t="s">
        <v>72</v>
      </c>
      <c r="Y9" s="25" t="s">
        <v>63</v>
      </c>
      <c r="Z9" s="25" t="s">
        <v>63</v>
      </c>
      <c r="AA9" s="25" t="s">
        <v>63</v>
      </c>
      <c r="AB9" s="25" t="s">
        <v>63</v>
      </c>
      <c r="AC9" s="25" t="s">
        <v>63</v>
      </c>
      <c r="AD9" s="25" t="s">
        <v>63</v>
      </c>
      <c r="AE9" s="25" t="s">
        <v>72</v>
      </c>
      <c r="AF9" s="25" t="s">
        <v>63</v>
      </c>
      <c r="AG9" s="1"/>
      <c r="AH9" s="7">
        <f ca="1">SUM($C$9:$AH$9)</f>
        <v>0</v>
      </c>
    </row>
    <row r="10" spans="2:34" ht="30" customHeight="1" x14ac:dyDescent="0.2">
      <c r="B10" t="str">
        <f>Werknemersnamen!B7</f>
        <v>El Karmoudi Taufik</v>
      </c>
      <c r="C10" s="25" t="s">
        <v>72</v>
      </c>
      <c r="D10" s="25" t="s">
        <v>63</v>
      </c>
      <c r="E10" s="25" t="s">
        <v>63</v>
      </c>
      <c r="F10" s="25" t="s">
        <v>63</v>
      </c>
      <c r="G10" s="25" t="s">
        <v>63</v>
      </c>
      <c r="H10" s="25" t="s">
        <v>63</v>
      </c>
      <c r="I10" s="25" t="s">
        <v>63</v>
      </c>
      <c r="J10" s="25" t="s">
        <v>72</v>
      </c>
      <c r="K10" s="25" t="s">
        <v>63</v>
      </c>
      <c r="L10" s="25" t="s">
        <v>63</v>
      </c>
      <c r="M10" s="25" t="s">
        <v>63</v>
      </c>
      <c r="N10" s="25" t="s">
        <v>63</v>
      </c>
      <c r="O10" s="25" t="s">
        <v>63</v>
      </c>
      <c r="P10" s="25" t="s">
        <v>63</v>
      </c>
      <c r="Q10" s="25" t="s">
        <v>72</v>
      </c>
      <c r="R10" s="25" t="s">
        <v>63</v>
      </c>
      <c r="S10" s="25" t="s">
        <v>63</v>
      </c>
      <c r="T10" s="25" t="s">
        <v>63</v>
      </c>
      <c r="U10" s="25" t="s">
        <v>63</v>
      </c>
      <c r="V10" s="25" t="s">
        <v>63</v>
      </c>
      <c r="W10" s="25" t="s">
        <v>63</v>
      </c>
      <c r="X10" s="25" t="s">
        <v>72</v>
      </c>
      <c r="Y10" s="25" t="s">
        <v>63</v>
      </c>
      <c r="Z10" s="25" t="s">
        <v>63</v>
      </c>
      <c r="AA10" s="25" t="s">
        <v>63</v>
      </c>
      <c r="AB10" s="25" t="s">
        <v>63</v>
      </c>
      <c r="AC10" s="25" t="s">
        <v>63</v>
      </c>
      <c r="AD10" s="25" t="s">
        <v>63</v>
      </c>
      <c r="AE10" s="25" t="s">
        <v>72</v>
      </c>
      <c r="AF10" s="25" t="s">
        <v>63</v>
      </c>
      <c r="AG10" s="1"/>
      <c r="AH10" s="7">
        <f ca="1">SUM($C$10:$AH$10)</f>
        <v>0</v>
      </c>
    </row>
    <row r="11" spans="2:34" ht="30" customHeight="1" x14ac:dyDescent="0.2">
      <c r="B11" t="str">
        <f>Werknemersnamen!B8</f>
        <v>El Maazouzi Abdelilah</v>
      </c>
      <c r="C11" s="25" t="s">
        <v>72</v>
      </c>
      <c r="D11" s="25" t="s">
        <v>63</v>
      </c>
      <c r="E11" s="25" t="s">
        <v>63</v>
      </c>
      <c r="F11" s="25" t="s">
        <v>63</v>
      </c>
      <c r="G11" s="25" t="s">
        <v>63</v>
      </c>
      <c r="H11" s="25" t="s">
        <v>63</v>
      </c>
      <c r="I11" s="25" t="s">
        <v>63</v>
      </c>
      <c r="J11" s="25" t="s">
        <v>72</v>
      </c>
      <c r="K11" s="25" t="s">
        <v>63</v>
      </c>
      <c r="L11" s="25" t="s">
        <v>63</v>
      </c>
      <c r="M11" s="25" t="s">
        <v>63</v>
      </c>
      <c r="N11" s="25" t="s">
        <v>63</v>
      </c>
      <c r="O11" s="25" t="s">
        <v>63</v>
      </c>
      <c r="P11" s="25" t="s">
        <v>63</v>
      </c>
      <c r="Q11" s="25" t="s">
        <v>72</v>
      </c>
      <c r="R11" s="25" t="s">
        <v>63</v>
      </c>
      <c r="S11" s="25" t="s">
        <v>63</v>
      </c>
      <c r="T11" s="25" t="s">
        <v>63</v>
      </c>
      <c r="U11" s="25" t="s">
        <v>63</v>
      </c>
      <c r="V11" s="25" t="s">
        <v>63</v>
      </c>
      <c r="W11" s="25" t="s">
        <v>63</v>
      </c>
      <c r="X11" s="25" t="s">
        <v>72</v>
      </c>
      <c r="Y11" s="25" t="s">
        <v>63</v>
      </c>
      <c r="Z11" s="25" t="s">
        <v>63</v>
      </c>
      <c r="AA11" s="25" t="s">
        <v>63</v>
      </c>
      <c r="AB11" s="25" t="s">
        <v>63</v>
      </c>
      <c r="AC11" s="25" t="s">
        <v>63</v>
      </c>
      <c r="AD11" s="25" t="s">
        <v>63</v>
      </c>
      <c r="AE11" s="25" t="s">
        <v>72</v>
      </c>
      <c r="AF11" s="25" t="s">
        <v>63</v>
      </c>
      <c r="AG11" s="1"/>
      <c r="AH11" s="7">
        <f ca="1">SUM($C$11:$AH$11)</f>
        <v>0</v>
      </c>
    </row>
    <row r="12" spans="2:34" ht="30" customHeight="1" x14ac:dyDescent="0.2">
      <c r="B12" t="str">
        <f>Werknemersnamen!B9</f>
        <v>Gultekin Muhammed A</v>
      </c>
      <c r="C12" s="25" t="s">
        <v>72</v>
      </c>
      <c r="D12" s="25" t="s">
        <v>63</v>
      </c>
      <c r="E12" s="25" t="s">
        <v>63</v>
      </c>
      <c r="F12" s="25" t="s">
        <v>63</v>
      </c>
      <c r="G12" s="25" t="s">
        <v>63</v>
      </c>
      <c r="H12" s="25" t="s">
        <v>63</v>
      </c>
      <c r="I12" s="25" t="s">
        <v>63</v>
      </c>
      <c r="J12" s="25" t="s">
        <v>72</v>
      </c>
      <c r="K12" s="25" t="s">
        <v>63</v>
      </c>
      <c r="L12" s="25" t="s">
        <v>63</v>
      </c>
      <c r="M12" s="25" t="s">
        <v>63</v>
      </c>
      <c r="N12" s="25" t="s">
        <v>63</v>
      </c>
      <c r="O12" s="25" t="s">
        <v>63</v>
      </c>
      <c r="P12" s="25" t="s">
        <v>63</v>
      </c>
      <c r="Q12" s="25" t="s">
        <v>72</v>
      </c>
      <c r="R12" s="25" t="s">
        <v>63</v>
      </c>
      <c r="S12" s="25" t="s">
        <v>63</v>
      </c>
      <c r="T12" s="25" t="s">
        <v>63</v>
      </c>
      <c r="U12" s="25" t="s">
        <v>63</v>
      </c>
      <c r="V12" s="25" t="s">
        <v>63</v>
      </c>
      <c r="W12" s="25" t="s">
        <v>63</v>
      </c>
      <c r="X12" s="25" t="s">
        <v>72</v>
      </c>
      <c r="Y12" s="25" t="s">
        <v>63</v>
      </c>
      <c r="Z12" s="25" t="s">
        <v>63</v>
      </c>
      <c r="AA12" s="25" t="s">
        <v>63</v>
      </c>
      <c r="AB12" s="25" t="s">
        <v>63</v>
      </c>
      <c r="AC12" s="25" t="s">
        <v>63</v>
      </c>
      <c r="AD12" s="25" t="s">
        <v>63</v>
      </c>
      <c r="AE12" s="25" t="s">
        <v>72</v>
      </c>
      <c r="AF12" s="25" t="s">
        <v>63</v>
      </c>
      <c r="AG12" s="1"/>
      <c r="AH12" s="7">
        <f ca="1">SUM($C$12:$AH$12)</f>
        <v>0</v>
      </c>
    </row>
    <row r="13" spans="2:34" ht="30" customHeight="1" x14ac:dyDescent="0.2">
      <c r="B13" t="str">
        <f>Werknemersnamen!B10</f>
        <v>Gultekin Muhammed E</v>
      </c>
      <c r="C13" s="25" t="s">
        <v>72</v>
      </c>
      <c r="D13" s="25" t="s">
        <v>63</v>
      </c>
      <c r="E13" s="25" t="s">
        <v>63</v>
      </c>
      <c r="F13" s="25" t="s">
        <v>63</v>
      </c>
      <c r="G13" s="25" t="s">
        <v>63</v>
      </c>
      <c r="H13" s="25" t="s">
        <v>63</v>
      </c>
      <c r="I13" s="25" t="s">
        <v>63</v>
      </c>
      <c r="J13" s="25" t="s">
        <v>72</v>
      </c>
      <c r="K13" s="25" t="s">
        <v>63</v>
      </c>
      <c r="L13" s="25" t="s">
        <v>63</v>
      </c>
      <c r="M13" s="25" t="s">
        <v>63</v>
      </c>
      <c r="N13" s="25" t="s">
        <v>63</v>
      </c>
      <c r="O13" s="25" t="s">
        <v>63</v>
      </c>
      <c r="P13" s="25" t="s">
        <v>63</v>
      </c>
      <c r="Q13" s="25" t="s">
        <v>72</v>
      </c>
      <c r="R13" s="25" t="s">
        <v>63</v>
      </c>
      <c r="S13" s="25" t="s">
        <v>63</v>
      </c>
      <c r="T13" s="25" t="s">
        <v>63</v>
      </c>
      <c r="U13" s="25" t="s">
        <v>63</v>
      </c>
      <c r="V13" s="25" t="s">
        <v>63</v>
      </c>
      <c r="W13" s="25" t="s">
        <v>63</v>
      </c>
      <c r="X13" s="25" t="s">
        <v>72</v>
      </c>
      <c r="Y13" s="25" t="s">
        <v>63</v>
      </c>
      <c r="Z13" s="25" t="s">
        <v>63</v>
      </c>
      <c r="AA13" s="25" t="s">
        <v>63</v>
      </c>
      <c r="AB13" s="25" t="s">
        <v>63</v>
      </c>
      <c r="AC13" s="25" t="s">
        <v>63</v>
      </c>
      <c r="AD13" s="25" t="s">
        <v>63</v>
      </c>
      <c r="AE13" s="25" t="s">
        <v>72</v>
      </c>
      <c r="AF13" s="25" t="s">
        <v>63</v>
      </c>
      <c r="AG13" s="1"/>
      <c r="AH13" s="7">
        <f ca="1">SUM($C$13:$AH$13)</f>
        <v>0</v>
      </c>
    </row>
    <row r="14" spans="2:34" ht="30" customHeight="1" x14ac:dyDescent="0.2">
      <c r="B14" t="str">
        <f>Werknemersnamen!B11</f>
        <v>Irakoze Patrick</v>
      </c>
      <c r="C14" s="25" t="s">
        <v>72</v>
      </c>
      <c r="D14" s="25" t="s">
        <v>63</v>
      </c>
      <c r="E14" s="25" t="s">
        <v>63</v>
      </c>
      <c r="F14" s="25" t="s">
        <v>63</v>
      </c>
      <c r="G14" s="25" t="s">
        <v>63</v>
      </c>
      <c r="H14" s="25" t="s">
        <v>63</v>
      </c>
      <c r="I14" s="25" t="s">
        <v>63</v>
      </c>
      <c r="J14" s="25" t="s">
        <v>72</v>
      </c>
      <c r="K14" s="25" t="s">
        <v>63</v>
      </c>
      <c r="L14" s="25" t="s">
        <v>63</v>
      </c>
      <c r="M14" s="25" t="s">
        <v>63</v>
      </c>
      <c r="N14" s="25" t="s">
        <v>63</v>
      </c>
      <c r="O14" s="25" t="s">
        <v>63</v>
      </c>
      <c r="P14" s="25" t="s">
        <v>63</v>
      </c>
      <c r="Q14" s="25" t="s">
        <v>72</v>
      </c>
      <c r="R14" s="25" t="s">
        <v>63</v>
      </c>
      <c r="S14" s="25" t="s">
        <v>63</v>
      </c>
      <c r="T14" s="25" t="s">
        <v>63</v>
      </c>
      <c r="U14" s="25" t="s">
        <v>63</v>
      </c>
      <c r="V14" s="25" t="s">
        <v>63</v>
      </c>
      <c r="W14" s="25" t="s">
        <v>63</v>
      </c>
      <c r="X14" s="25" t="s">
        <v>72</v>
      </c>
      <c r="Y14" s="25" t="s">
        <v>63</v>
      </c>
      <c r="Z14" s="25" t="s">
        <v>63</v>
      </c>
      <c r="AA14" s="25" t="s">
        <v>63</v>
      </c>
      <c r="AB14" s="25" t="s">
        <v>63</v>
      </c>
      <c r="AC14" s="25" t="s">
        <v>63</v>
      </c>
      <c r="AD14" s="25" t="s">
        <v>63</v>
      </c>
      <c r="AE14" s="25" t="s">
        <v>72</v>
      </c>
      <c r="AF14" s="25" t="s">
        <v>63</v>
      </c>
      <c r="AG14" s="1"/>
      <c r="AH14" s="7">
        <f ca="1">SUM($C$14:$AH$14)</f>
        <v>0</v>
      </c>
    </row>
    <row r="15" spans="2:34" ht="30" customHeight="1" x14ac:dyDescent="0.2">
      <c r="B15" t="str">
        <f>Werknemersnamen!B12</f>
        <v>Kacar Abdullah</v>
      </c>
      <c r="C15" s="25" t="s">
        <v>72</v>
      </c>
      <c r="D15" s="25" t="s">
        <v>63</v>
      </c>
      <c r="E15" s="25" t="s">
        <v>63</v>
      </c>
      <c r="F15" s="25" t="s">
        <v>63</v>
      </c>
      <c r="G15" s="25" t="s">
        <v>63</v>
      </c>
      <c r="H15" s="25" t="s">
        <v>63</v>
      </c>
      <c r="I15" s="25" t="s">
        <v>63</v>
      </c>
      <c r="J15" s="25" t="s">
        <v>72</v>
      </c>
      <c r="K15" s="25" t="s">
        <v>63</v>
      </c>
      <c r="L15" s="25" t="s">
        <v>63</v>
      </c>
      <c r="M15" s="25" t="s">
        <v>63</v>
      </c>
      <c r="N15" s="25" t="s">
        <v>63</v>
      </c>
      <c r="O15" s="25" t="s">
        <v>63</v>
      </c>
      <c r="P15" s="25" t="s">
        <v>63</v>
      </c>
      <c r="Q15" s="25" t="s">
        <v>72</v>
      </c>
      <c r="R15" s="25" t="s">
        <v>63</v>
      </c>
      <c r="S15" s="25" t="s">
        <v>63</v>
      </c>
      <c r="T15" s="25" t="s">
        <v>63</v>
      </c>
      <c r="U15" s="25" t="s">
        <v>63</v>
      </c>
      <c r="V15" s="25" t="s">
        <v>63</v>
      </c>
      <c r="W15" s="25" t="s">
        <v>63</v>
      </c>
      <c r="X15" s="25" t="s">
        <v>72</v>
      </c>
      <c r="Y15" s="25" t="s">
        <v>63</v>
      </c>
      <c r="Z15" s="25" t="s">
        <v>63</v>
      </c>
      <c r="AA15" s="25" t="s">
        <v>63</v>
      </c>
      <c r="AB15" s="25" t="s">
        <v>63</v>
      </c>
      <c r="AC15" s="25" t="s">
        <v>63</v>
      </c>
      <c r="AD15" s="25" t="s">
        <v>63</v>
      </c>
      <c r="AE15" s="25" t="s">
        <v>72</v>
      </c>
      <c r="AF15" s="25" t="s">
        <v>63</v>
      </c>
      <c r="AG15" s="1"/>
      <c r="AH15" s="7">
        <f ca="1">SUM($C$15:$AH$15)</f>
        <v>0</v>
      </c>
    </row>
    <row r="16" spans="2:34" ht="30" customHeight="1" x14ac:dyDescent="0.2">
      <c r="B16" t="str">
        <f>Werknemersnamen!B13</f>
        <v>Kefes Levent</v>
      </c>
      <c r="C16" s="25" t="s">
        <v>72</v>
      </c>
      <c r="D16" s="25" t="s">
        <v>63</v>
      </c>
      <c r="E16" s="25" t="s">
        <v>63</v>
      </c>
      <c r="F16" s="25" t="s">
        <v>63</v>
      </c>
      <c r="G16" s="25" t="s">
        <v>63</v>
      </c>
      <c r="H16" s="25" t="s">
        <v>63</v>
      </c>
      <c r="I16" s="25" t="s">
        <v>63</v>
      </c>
      <c r="J16" s="25" t="s">
        <v>72</v>
      </c>
      <c r="K16" s="25" t="s">
        <v>63</v>
      </c>
      <c r="L16" s="25" t="s">
        <v>63</v>
      </c>
      <c r="M16" s="25" t="s">
        <v>63</v>
      </c>
      <c r="N16" s="25" t="s">
        <v>63</v>
      </c>
      <c r="O16" s="25" t="s">
        <v>63</v>
      </c>
      <c r="P16" s="25" t="s">
        <v>63</v>
      </c>
      <c r="Q16" s="25" t="s">
        <v>72</v>
      </c>
      <c r="R16" s="25" t="s">
        <v>63</v>
      </c>
      <c r="S16" s="25" t="s">
        <v>63</v>
      </c>
      <c r="T16" s="25" t="s">
        <v>63</v>
      </c>
      <c r="U16" s="25" t="s">
        <v>63</v>
      </c>
      <c r="V16" s="25" t="s">
        <v>63</v>
      </c>
      <c r="W16" s="25" t="s">
        <v>63</v>
      </c>
      <c r="X16" s="25" t="s">
        <v>72</v>
      </c>
      <c r="Y16" s="25" t="s">
        <v>63</v>
      </c>
      <c r="Z16" s="25" t="s">
        <v>63</v>
      </c>
      <c r="AA16" s="25" t="s">
        <v>63</v>
      </c>
      <c r="AB16" s="25" t="s">
        <v>63</v>
      </c>
      <c r="AC16" s="25" t="s">
        <v>63</v>
      </c>
      <c r="AD16" s="25" t="s">
        <v>63</v>
      </c>
      <c r="AE16" s="25" t="s">
        <v>72</v>
      </c>
      <c r="AF16" s="25" t="s">
        <v>63</v>
      </c>
      <c r="AG16" s="1"/>
      <c r="AH16" s="7">
        <f ca="1">SUM($C$16:$AH$16)</f>
        <v>0</v>
      </c>
    </row>
    <row r="17" spans="2:34" ht="30" customHeight="1" x14ac:dyDescent="0.2">
      <c r="B17" t="str">
        <f>Werknemersnamen!B14</f>
        <v>Moualdine Ali</v>
      </c>
      <c r="C17" s="25" t="s">
        <v>72</v>
      </c>
      <c r="D17" s="25" t="s">
        <v>63</v>
      </c>
      <c r="E17" s="25" t="s">
        <v>63</v>
      </c>
      <c r="F17" s="25" t="s">
        <v>63</v>
      </c>
      <c r="G17" s="25" t="s">
        <v>63</v>
      </c>
      <c r="H17" s="25" t="s">
        <v>63</v>
      </c>
      <c r="I17" s="25" t="s">
        <v>63</v>
      </c>
      <c r="J17" s="25" t="s">
        <v>72</v>
      </c>
      <c r="K17" s="25" t="s">
        <v>63</v>
      </c>
      <c r="L17" s="25" t="s">
        <v>63</v>
      </c>
      <c r="M17" s="25" t="s">
        <v>63</v>
      </c>
      <c r="N17" s="25" t="s">
        <v>63</v>
      </c>
      <c r="O17" s="25" t="s">
        <v>63</v>
      </c>
      <c r="P17" s="25" t="s">
        <v>63</v>
      </c>
      <c r="Q17" s="25" t="s">
        <v>72</v>
      </c>
      <c r="R17" s="25" t="s">
        <v>63</v>
      </c>
      <c r="S17" s="25" t="s">
        <v>63</v>
      </c>
      <c r="T17" s="25" t="s">
        <v>63</v>
      </c>
      <c r="U17" s="25" t="s">
        <v>63</v>
      </c>
      <c r="V17" s="25" t="s">
        <v>63</v>
      </c>
      <c r="W17" s="25" t="s">
        <v>63</v>
      </c>
      <c r="X17" s="25" t="s">
        <v>72</v>
      </c>
      <c r="Y17" s="25" t="s">
        <v>63</v>
      </c>
      <c r="Z17" s="25" t="s">
        <v>63</v>
      </c>
      <c r="AA17" s="25" t="s">
        <v>63</v>
      </c>
      <c r="AB17" s="25" t="s">
        <v>63</v>
      </c>
      <c r="AC17" s="25" t="s">
        <v>63</v>
      </c>
      <c r="AD17" s="25" t="s">
        <v>63</v>
      </c>
      <c r="AE17" s="25" t="s">
        <v>72</v>
      </c>
      <c r="AF17" s="25" t="s">
        <v>63</v>
      </c>
      <c r="AG17" s="1"/>
      <c r="AH17" s="7">
        <f ca="1">SUM($C$17:$AH$17)</f>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ca="1">SUM($C$18:$AH$18)</f>
        <v>0</v>
      </c>
    </row>
    <row r="19" spans="2:34" ht="30" customHeight="1" x14ac:dyDescent="0.2">
      <c r="AH19">
        <f ca="1">SUM($C$19:$AH$19)</f>
        <v>0</v>
      </c>
    </row>
    <row r="20" spans="2:34" ht="30" customHeight="1" x14ac:dyDescent="0.2">
      <c r="B20" t="s">
        <v>86</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7:AG18">
    <cfRule type="expression" priority="1" stopIfTrue="1">
      <formula>C7=""</formula>
    </cfRule>
    <cfRule type="expression" dxfId="449" priority="2" stopIfTrue="1">
      <formula>C7=KeyCustom2</formula>
    </cfRule>
    <cfRule type="expression" dxfId="448" priority="3" stopIfTrue="1">
      <formula>C7=KeyCustom1</formula>
    </cfRule>
    <cfRule type="expression" dxfId="447" priority="4" stopIfTrue="1">
      <formula>C7=KeySick</formula>
    </cfRule>
    <cfRule type="expression" dxfId="446" priority="5" stopIfTrue="1">
      <formula>C7=KeyPersonal</formula>
    </cfRule>
    <cfRule type="expression" dxfId="445"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{A410A8AD-968A-4747-88DD-0EDA1CE81E1B}</x14:id>
        </ext>
      </extLst>
    </cfRule>
  </conditionalFormatting>
  <dataValidations count="13">
    <dataValidation allowBlank="1" showInputMessage="1" showErrorMessage="1" prompt="Houd de afwezigheid in juni in dit werkblad bij" sqref="A1" xr:uid="{00000000-0002-0000-0500-000003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1FDDF42B-11BE-0742-9B57-57779D4593D2}"/>
    <dataValidation allowBlank="1" showInputMessage="1" showErrorMessage="1" prompt="De titel wordt automatisch bijgewerkt in deze cel. Als u de titel wilt wijzigen, werk B1 in het januari-werkblad bij" sqref="B1" xr:uid="{00000000-0002-0000-0500-000005000000}"/>
    <dataValidation allowBlank="1" showInputMessage="1" showErrorMessage="1" prompt="De letter &quot;V&quot; geeft afwezigheid vanwege vakantie aan" sqref="C2" xr:uid="{00000000-0002-0000-0500-000006000000}"/>
    <dataValidation allowBlank="1" showInputMessage="1" showErrorMessage="1" prompt="De letter &quot;P&quot; geeft afwezigheid vanwege persoonlijke redenen aan" sqref="G2" xr:uid="{00000000-0002-0000-0500-000007000000}"/>
    <dataValidation allowBlank="1" showInputMessage="1" showErrorMessage="1" prompt="De letter &quot;Z&quot; geeft afwezigheid vanwege ziekte aan" sqref="K2" xr:uid="{00000000-0002-0000-0500-000008000000}"/>
    <dataValidation allowBlank="1" showInputMessage="1" showErrorMessage="1" prompt="Voer een letter in en pas rechts het label aan om een ander sleutelitem toe te voegen" sqref="N2 R2" xr:uid="{00000000-0002-0000-0500-000009000000}"/>
    <dataValidation allowBlank="1" showInputMessage="1" showErrorMessage="1" prompt="Voer links een label in om de aangepaste sleutel te beschrijven" sqref="O2:Q2 S2:U2" xr:uid="{00000000-0002-0000-0500-00000A000000}"/>
    <dataValidation allowBlank="1" showInputMessage="1" showErrorMessage="1" prompt="Deze rij definieert de sleutels die worden gebruikt in de tabel: cel C2 is Vakantie, G2 is Persoonlijk en K2 is Ziekteverlof. De cellen N2 en R2 kunnen worden aangepast" sqref="B2" xr:uid="{00000000-0002-0000-0500-00000B000000}"/>
    <dataValidation allowBlank="1" showInputMessage="1" showErrorMessage="1" prompt="De dagen van de maand in deze rij worden automatisch gegenereerd. Voer voor elke dag van de maand in elke kolom het verzuim en het type verzuim van een werknemer in. Leeg betekent geen verzuim" sqref="C6 AG6" xr:uid="{6EE368CA-2848-A14A-A81A-97ED110B7D27}"/>
    <dataValidation allowBlank="1" showInputMessage="1" showErrorMessage="1" prompt="Maand van dit verzuimschema. Werk het jaar bij in cel AH4. Houd de totalen bij per maand in de laatste cel van de tabel. Namen van werknemers invoeren in tabelkolom B" sqref="B4" xr:uid="{64FCCC50-FF49-6142-A5B7-DF7EE8C24DE2}"/>
    <dataValidation allowBlank="1" showInputMessage="1" showErrorMessage="1" prompt="Berekent automatisch het totaal aantal dagen dat een werknemer in deze maand niet afwezig was" sqref="AH6" xr:uid="{23BD1474-A3DA-AA44-BE1D-4BE572005648}"/>
    <dataValidation allowBlank="1" showInputMessage="1" showErrorMessage="1" prompt="Voer het jaar in deze cel in" sqref="AH4" xr:uid="{0079023B-3F35-7F4D-8DDB-AF6BEAF0C291}"/>
  </dataValidations>
  <printOptions horizontalCentered="1"/>
  <pageMargins left="0.25" right="0.25" top="0.75" bottom="0.75" header="0.3" footer="0.3"/>
  <pageSetup paperSize="9" scale="72" fitToHeight="0" orientation="landscape" r:id="rId1"/>
  <headerFooter differentFirst="1">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A410A8AD-968A-4747-88DD-0EDA1CE81E1B}">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7">
    <tabColor theme="1"/>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48</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77</v>
      </c>
      <c r="D5" s="1" t="s">
        <v>78</v>
      </c>
      <c r="E5" s="1" t="s">
        <v>79</v>
      </c>
      <c r="F5" s="1" t="s">
        <v>73</v>
      </c>
      <c r="G5" s="1" t="s">
        <v>74</v>
      </c>
      <c r="H5" s="1" t="s">
        <v>75</v>
      </c>
      <c r="I5" s="1" t="s">
        <v>76</v>
      </c>
      <c r="J5" s="1" t="s">
        <v>77</v>
      </c>
      <c r="K5" s="1" t="s">
        <v>78</v>
      </c>
      <c r="L5" s="1" t="s">
        <v>79</v>
      </c>
      <c r="M5" s="1" t="s">
        <v>73</v>
      </c>
      <c r="N5" s="1" t="s">
        <v>74</v>
      </c>
      <c r="O5" s="1" t="s">
        <v>75</v>
      </c>
      <c r="P5" s="1" t="s">
        <v>76</v>
      </c>
      <c r="Q5" s="1" t="s">
        <v>77</v>
      </c>
      <c r="R5" s="1" t="s">
        <v>78</v>
      </c>
      <c r="S5" s="1" t="s">
        <v>79</v>
      </c>
      <c r="T5" s="1" t="s">
        <v>73</v>
      </c>
      <c r="U5" s="1" t="s">
        <v>74</v>
      </c>
      <c r="V5" s="1" t="s">
        <v>75</v>
      </c>
      <c r="W5" s="1" t="s">
        <v>76</v>
      </c>
      <c r="X5" s="1" t="s">
        <v>77</v>
      </c>
      <c r="Y5" s="1" t="s">
        <v>78</v>
      </c>
      <c r="Z5" s="1" t="s">
        <v>79</v>
      </c>
      <c r="AA5" s="1" t="s">
        <v>73</v>
      </c>
      <c r="AB5" s="1" t="s">
        <v>74</v>
      </c>
      <c r="AC5" s="1" t="s">
        <v>75</v>
      </c>
      <c r="AD5" s="1" t="s">
        <v>76</v>
      </c>
      <c r="AE5" s="1" t="s">
        <v>77</v>
      </c>
      <c r="AF5" s="1" t="s">
        <v>78</v>
      </c>
      <c r="AG5" s="1" t="s">
        <v>79</v>
      </c>
      <c r="AH5" s="8"/>
    </row>
    <row r="6" spans="2: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2:34" ht="30" customHeight="1" x14ac:dyDescent="0.2">
      <c r="B7" t="str">
        <f>Werknemersnamen!B4</f>
        <v>Biragoye Isaac</v>
      </c>
      <c r="C7" s="25" t="s">
        <v>63</v>
      </c>
      <c r="D7" s="25" t="s">
        <v>63</v>
      </c>
      <c r="E7" s="25" t="s">
        <v>63</v>
      </c>
      <c r="F7" s="25" t="s">
        <v>63</v>
      </c>
      <c r="G7" s="25" t="s">
        <v>63</v>
      </c>
      <c r="H7" s="25" t="s">
        <v>72</v>
      </c>
      <c r="I7" s="25" t="s">
        <v>63</v>
      </c>
      <c r="J7" s="25" t="s">
        <v>63</v>
      </c>
      <c r="K7" s="25" t="s">
        <v>63</v>
      </c>
      <c r="L7" s="25" t="s">
        <v>63</v>
      </c>
      <c r="M7" s="25" t="s">
        <v>63</v>
      </c>
      <c r="N7" s="25" t="s">
        <v>63</v>
      </c>
      <c r="O7" s="25" t="s">
        <v>72</v>
      </c>
      <c r="P7" s="25" t="s">
        <v>63</v>
      </c>
      <c r="Q7" s="25" t="s">
        <v>63</v>
      </c>
      <c r="R7" s="25" t="s">
        <v>63</v>
      </c>
      <c r="S7" s="25" t="s">
        <v>63</v>
      </c>
      <c r="T7" s="25" t="s">
        <v>63</v>
      </c>
      <c r="U7" s="25" t="s">
        <v>63</v>
      </c>
      <c r="V7" s="25" t="s">
        <v>72</v>
      </c>
      <c r="W7" s="25" t="s">
        <v>63</v>
      </c>
      <c r="X7" s="25" t="s">
        <v>63</v>
      </c>
      <c r="Y7" s="25" t="s">
        <v>63</v>
      </c>
      <c r="Z7" s="25" t="s">
        <v>63</v>
      </c>
      <c r="AA7" s="25" t="s">
        <v>63</v>
      </c>
      <c r="AB7" s="25" t="s">
        <v>63</v>
      </c>
      <c r="AC7" s="25" t="s">
        <v>72</v>
      </c>
      <c r="AD7" s="25" t="s">
        <v>63</v>
      </c>
      <c r="AE7" s="25" t="s">
        <v>63</v>
      </c>
      <c r="AF7" s="25" t="s">
        <v>63</v>
      </c>
      <c r="AG7" s="25" t="s">
        <v>63</v>
      </c>
      <c r="AH7" s="7">
        <f t="shared" ref="AH7:AH18" ca="1" si="0">SUM($C$18:$AH$18)</f>
        <v>0</v>
      </c>
    </row>
    <row r="8" spans="2:34" ht="30" customHeight="1" x14ac:dyDescent="0.2">
      <c r="B8" t="str">
        <f>Werknemersnamen!B5</f>
        <v>Cinar Rafet</v>
      </c>
      <c r="C8" s="25" t="s">
        <v>63</v>
      </c>
      <c r="D8" s="25" t="s">
        <v>63</v>
      </c>
      <c r="E8" s="25" t="s">
        <v>63</v>
      </c>
      <c r="F8" s="25" t="s">
        <v>63</v>
      </c>
      <c r="G8" s="25" t="s">
        <v>63</v>
      </c>
      <c r="H8" s="25" t="s">
        <v>72</v>
      </c>
      <c r="I8" s="25" t="s">
        <v>63</v>
      </c>
      <c r="J8" s="25" t="s">
        <v>63</v>
      </c>
      <c r="K8" s="25" t="s">
        <v>63</v>
      </c>
      <c r="L8" s="25" t="s">
        <v>63</v>
      </c>
      <c r="M8" s="25" t="s">
        <v>63</v>
      </c>
      <c r="N8" s="25" t="s">
        <v>63</v>
      </c>
      <c r="O8" s="25" t="s">
        <v>72</v>
      </c>
      <c r="P8" s="25" t="s">
        <v>63</v>
      </c>
      <c r="Q8" s="25" t="s">
        <v>63</v>
      </c>
      <c r="R8" s="25" t="s">
        <v>63</v>
      </c>
      <c r="S8" s="25" t="s">
        <v>63</v>
      </c>
      <c r="T8" s="25" t="s">
        <v>63</v>
      </c>
      <c r="U8" s="25" t="s">
        <v>63</v>
      </c>
      <c r="V8" s="25" t="s">
        <v>72</v>
      </c>
      <c r="W8" s="25" t="s">
        <v>63</v>
      </c>
      <c r="X8" s="25" t="s">
        <v>63</v>
      </c>
      <c r="Y8" s="25" t="s">
        <v>63</v>
      </c>
      <c r="Z8" s="25" t="s">
        <v>63</v>
      </c>
      <c r="AA8" s="25" t="s">
        <v>63</v>
      </c>
      <c r="AB8" s="25" t="s">
        <v>63</v>
      </c>
      <c r="AC8" s="25" t="s">
        <v>72</v>
      </c>
      <c r="AD8" s="25" t="s">
        <v>63</v>
      </c>
      <c r="AE8" s="25" t="s">
        <v>63</v>
      </c>
      <c r="AF8" s="25" t="s">
        <v>63</v>
      </c>
      <c r="AG8" s="25" t="s">
        <v>63</v>
      </c>
      <c r="AH8" s="7">
        <f t="shared" ca="1" si="0"/>
        <v>0</v>
      </c>
    </row>
    <row r="9" spans="2:34" ht="30" customHeight="1" x14ac:dyDescent="0.2">
      <c r="B9" t="str">
        <f>Werknemersnamen!B6</f>
        <v>Cygora Lukasz Jan</v>
      </c>
      <c r="C9" s="25" t="s">
        <v>63</v>
      </c>
      <c r="D9" s="25" t="s">
        <v>63</v>
      </c>
      <c r="E9" s="25" t="s">
        <v>63</v>
      </c>
      <c r="F9" s="25" t="s">
        <v>63</v>
      </c>
      <c r="G9" s="25" t="s">
        <v>63</v>
      </c>
      <c r="H9" s="25" t="s">
        <v>72</v>
      </c>
      <c r="I9" s="25" t="s">
        <v>63</v>
      </c>
      <c r="J9" s="25" t="s">
        <v>63</v>
      </c>
      <c r="K9" s="25" t="s">
        <v>63</v>
      </c>
      <c r="L9" s="25" t="s">
        <v>63</v>
      </c>
      <c r="M9" s="25" t="s">
        <v>63</v>
      </c>
      <c r="N9" s="25" t="s">
        <v>63</v>
      </c>
      <c r="O9" s="25" t="s">
        <v>72</v>
      </c>
      <c r="P9" s="25" t="s">
        <v>63</v>
      </c>
      <c r="Q9" s="25" t="s">
        <v>63</v>
      </c>
      <c r="R9" s="25" t="s">
        <v>63</v>
      </c>
      <c r="S9" s="25" t="s">
        <v>63</v>
      </c>
      <c r="T9" s="25" t="s">
        <v>63</v>
      </c>
      <c r="U9" s="25" t="s">
        <v>63</v>
      </c>
      <c r="V9" s="25" t="s">
        <v>72</v>
      </c>
      <c r="W9" s="25" t="s">
        <v>63</v>
      </c>
      <c r="X9" s="25" t="s">
        <v>63</v>
      </c>
      <c r="Y9" s="25" t="s">
        <v>63</v>
      </c>
      <c r="Z9" s="25" t="s">
        <v>63</v>
      </c>
      <c r="AA9" s="25" t="s">
        <v>63</v>
      </c>
      <c r="AB9" s="25" t="s">
        <v>63</v>
      </c>
      <c r="AC9" s="25" t="s">
        <v>72</v>
      </c>
      <c r="AD9" s="25" t="s">
        <v>63</v>
      </c>
      <c r="AE9" s="25" t="s">
        <v>63</v>
      </c>
      <c r="AF9" s="25" t="s">
        <v>63</v>
      </c>
      <c r="AG9" s="25" t="s">
        <v>63</v>
      </c>
      <c r="AH9" s="7">
        <f t="shared" ca="1" si="0"/>
        <v>0</v>
      </c>
    </row>
    <row r="10" spans="2:34" ht="30" customHeight="1" x14ac:dyDescent="0.2">
      <c r="B10" t="str">
        <f>Werknemersnamen!B7</f>
        <v>El Karmoudi Taufik</v>
      </c>
      <c r="C10" s="25" t="s">
        <v>63</v>
      </c>
      <c r="D10" s="25" t="s">
        <v>63</v>
      </c>
      <c r="E10" s="25" t="s">
        <v>63</v>
      </c>
      <c r="F10" s="25" t="s">
        <v>63</v>
      </c>
      <c r="G10" s="25" t="s">
        <v>63</v>
      </c>
      <c r="H10" s="25" t="s">
        <v>72</v>
      </c>
      <c r="I10" s="25" t="s">
        <v>63</v>
      </c>
      <c r="J10" s="25" t="s">
        <v>63</v>
      </c>
      <c r="K10" s="25" t="s">
        <v>63</v>
      </c>
      <c r="L10" s="25" t="s">
        <v>63</v>
      </c>
      <c r="M10" s="25" t="s">
        <v>63</v>
      </c>
      <c r="N10" s="25" t="s">
        <v>63</v>
      </c>
      <c r="O10" s="25" t="s">
        <v>72</v>
      </c>
      <c r="P10" s="25" t="s">
        <v>63</v>
      </c>
      <c r="Q10" s="25" t="s">
        <v>63</v>
      </c>
      <c r="R10" s="25" t="s">
        <v>63</v>
      </c>
      <c r="S10" s="25" t="s">
        <v>63</v>
      </c>
      <c r="T10" s="25" t="s">
        <v>63</v>
      </c>
      <c r="U10" s="25" t="s">
        <v>63</v>
      </c>
      <c r="V10" s="25" t="s">
        <v>72</v>
      </c>
      <c r="W10" s="25" t="s">
        <v>63</v>
      </c>
      <c r="X10" s="25" t="s">
        <v>63</v>
      </c>
      <c r="Y10" s="25" t="s">
        <v>63</v>
      </c>
      <c r="Z10" s="25" t="s">
        <v>63</v>
      </c>
      <c r="AA10" s="25" t="s">
        <v>63</v>
      </c>
      <c r="AB10" s="25" t="s">
        <v>63</v>
      </c>
      <c r="AC10" s="25" t="s">
        <v>72</v>
      </c>
      <c r="AD10" s="25" t="s">
        <v>63</v>
      </c>
      <c r="AE10" s="25" t="s">
        <v>63</v>
      </c>
      <c r="AF10" s="25" t="s">
        <v>63</v>
      </c>
      <c r="AG10" s="25" t="s">
        <v>63</v>
      </c>
      <c r="AH10" s="7">
        <f t="shared" ca="1" si="0"/>
        <v>0</v>
      </c>
    </row>
    <row r="11" spans="2:34" ht="30" customHeight="1" x14ac:dyDescent="0.2">
      <c r="B11" t="str">
        <f>Werknemersnamen!B8</f>
        <v>El Maazouzi Abdelilah</v>
      </c>
      <c r="C11" s="25" t="s">
        <v>63</v>
      </c>
      <c r="D11" s="25" t="s">
        <v>63</v>
      </c>
      <c r="E11" s="25" t="s">
        <v>63</v>
      </c>
      <c r="F11" s="25" t="s">
        <v>63</v>
      </c>
      <c r="G11" s="25" t="s">
        <v>63</v>
      </c>
      <c r="H11" s="25" t="s">
        <v>72</v>
      </c>
      <c r="I11" s="25" t="s">
        <v>63</v>
      </c>
      <c r="J11" s="25" t="s">
        <v>63</v>
      </c>
      <c r="K11" s="25" t="s">
        <v>63</v>
      </c>
      <c r="L11" s="25" t="s">
        <v>63</v>
      </c>
      <c r="M11" s="25" t="s">
        <v>63</v>
      </c>
      <c r="N11" s="25" t="s">
        <v>63</v>
      </c>
      <c r="O11" s="25" t="s">
        <v>72</v>
      </c>
      <c r="P11" s="25" t="s">
        <v>63</v>
      </c>
      <c r="Q11" s="25" t="s">
        <v>63</v>
      </c>
      <c r="R11" s="25" t="s">
        <v>63</v>
      </c>
      <c r="S11" s="25" t="s">
        <v>63</v>
      </c>
      <c r="T11" s="25" t="s">
        <v>63</v>
      </c>
      <c r="U11" s="25" t="s">
        <v>63</v>
      </c>
      <c r="V11" s="25" t="s">
        <v>72</v>
      </c>
      <c r="W11" s="25" t="s">
        <v>63</v>
      </c>
      <c r="X11" s="25" t="s">
        <v>63</v>
      </c>
      <c r="Y11" s="25" t="s">
        <v>63</v>
      </c>
      <c r="Z11" s="25" t="s">
        <v>63</v>
      </c>
      <c r="AA11" s="25" t="s">
        <v>63</v>
      </c>
      <c r="AB11" s="25" t="s">
        <v>63</v>
      </c>
      <c r="AC11" s="25" t="s">
        <v>72</v>
      </c>
      <c r="AD11" s="25" t="s">
        <v>63</v>
      </c>
      <c r="AE11" s="25" t="s">
        <v>63</v>
      </c>
      <c r="AF11" s="25" t="s">
        <v>63</v>
      </c>
      <c r="AG11" s="25" t="s">
        <v>63</v>
      </c>
      <c r="AH11" s="7">
        <f t="shared" ca="1" si="0"/>
        <v>0</v>
      </c>
    </row>
    <row r="12" spans="2:34" ht="30" customHeight="1" x14ac:dyDescent="0.2">
      <c r="B12" t="str">
        <f>Werknemersnamen!B9</f>
        <v>Gultekin Muhammed A</v>
      </c>
      <c r="C12" s="25" t="s">
        <v>63</v>
      </c>
      <c r="D12" s="25" t="s">
        <v>63</v>
      </c>
      <c r="E12" s="25" t="s">
        <v>63</v>
      </c>
      <c r="F12" s="25" t="s">
        <v>63</v>
      </c>
      <c r="G12" s="25" t="s">
        <v>63</v>
      </c>
      <c r="H12" s="25" t="s">
        <v>72</v>
      </c>
      <c r="I12" s="25" t="s">
        <v>63</v>
      </c>
      <c r="J12" s="25" t="s">
        <v>63</v>
      </c>
      <c r="K12" s="25" t="s">
        <v>63</v>
      </c>
      <c r="L12" s="25" t="s">
        <v>63</v>
      </c>
      <c r="M12" s="25" t="s">
        <v>63</v>
      </c>
      <c r="N12" s="25" t="s">
        <v>63</v>
      </c>
      <c r="O12" s="25" t="s">
        <v>72</v>
      </c>
      <c r="P12" s="25" t="s">
        <v>63</v>
      </c>
      <c r="Q12" s="25" t="s">
        <v>63</v>
      </c>
      <c r="R12" s="25" t="s">
        <v>63</v>
      </c>
      <c r="S12" s="25" t="s">
        <v>63</v>
      </c>
      <c r="T12" s="25" t="s">
        <v>63</v>
      </c>
      <c r="U12" s="25" t="s">
        <v>63</v>
      </c>
      <c r="V12" s="25" t="s">
        <v>72</v>
      </c>
      <c r="W12" s="25" t="s">
        <v>63</v>
      </c>
      <c r="X12" s="25" t="s">
        <v>63</v>
      </c>
      <c r="Y12" s="25" t="s">
        <v>63</v>
      </c>
      <c r="Z12" s="25" t="s">
        <v>63</v>
      </c>
      <c r="AA12" s="25" t="s">
        <v>63</v>
      </c>
      <c r="AB12" s="25" t="s">
        <v>63</v>
      </c>
      <c r="AC12" s="25" t="s">
        <v>72</v>
      </c>
      <c r="AD12" s="25" t="s">
        <v>63</v>
      </c>
      <c r="AE12" s="25" t="s">
        <v>63</v>
      </c>
      <c r="AF12" s="25" t="s">
        <v>63</v>
      </c>
      <c r="AG12" s="25" t="s">
        <v>63</v>
      </c>
      <c r="AH12" s="7">
        <f t="shared" ca="1" si="0"/>
        <v>0</v>
      </c>
    </row>
    <row r="13" spans="2:34" ht="30" customHeight="1" x14ac:dyDescent="0.2">
      <c r="B13" t="str">
        <f>Werknemersnamen!B10</f>
        <v>Gultekin Muhammed E</v>
      </c>
      <c r="C13" s="25" t="s">
        <v>63</v>
      </c>
      <c r="D13" s="25" t="s">
        <v>63</v>
      </c>
      <c r="E13" s="25" t="s">
        <v>63</v>
      </c>
      <c r="F13" s="25" t="s">
        <v>63</v>
      </c>
      <c r="G13" s="25" t="s">
        <v>63</v>
      </c>
      <c r="H13" s="25" t="s">
        <v>72</v>
      </c>
      <c r="I13" s="25" t="s">
        <v>63</v>
      </c>
      <c r="J13" s="25" t="s">
        <v>63</v>
      </c>
      <c r="K13" s="25" t="s">
        <v>63</v>
      </c>
      <c r="L13" s="25" t="s">
        <v>63</v>
      </c>
      <c r="M13" s="25" t="s">
        <v>63</v>
      </c>
      <c r="N13" s="25" t="s">
        <v>63</v>
      </c>
      <c r="O13" s="25" t="s">
        <v>72</v>
      </c>
      <c r="P13" s="25" t="s">
        <v>63</v>
      </c>
      <c r="Q13" s="25" t="s">
        <v>63</v>
      </c>
      <c r="R13" s="25" t="s">
        <v>63</v>
      </c>
      <c r="S13" s="25" t="s">
        <v>63</v>
      </c>
      <c r="T13" s="25" t="s">
        <v>63</v>
      </c>
      <c r="U13" s="25" t="s">
        <v>63</v>
      </c>
      <c r="V13" s="25" t="s">
        <v>72</v>
      </c>
      <c r="W13" s="25" t="s">
        <v>63</v>
      </c>
      <c r="X13" s="25" t="s">
        <v>63</v>
      </c>
      <c r="Y13" s="25" t="s">
        <v>63</v>
      </c>
      <c r="Z13" s="25" t="s">
        <v>63</v>
      </c>
      <c r="AA13" s="25" t="s">
        <v>63</v>
      </c>
      <c r="AB13" s="25" t="s">
        <v>63</v>
      </c>
      <c r="AC13" s="25" t="s">
        <v>72</v>
      </c>
      <c r="AD13" s="25" t="s">
        <v>63</v>
      </c>
      <c r="AE13" s="25" t="s">
        <v>63</v>
      </c>
      <c r="AF13" s="25" t="s">
        <v>63</v>
      </c>
      <c r="AG13" s="25" t="s">
        <v>63</v>
      </c>
      <c r="AH13" s="7">
        <f t="shared" ca="1" si="0"/>
        <v>0</v>
      </c>
    </row>
    <row r="14" spans="2:34" ht="30" customHeight="1" x14ac:dyDescent="0.2">
      <c r="B14" t="str">
        <f>Werknemersnamen!B11</f>
        <v>Irakoze Patrick</v>
      </c>
      <c r="C14" s="25" t="s">
        <v>63</v>
      </c>
      <c r="D14" s="25" t="s">
        <v>63</v>
      </c>
      <c r="E14" s="25" t="s">
        <v>63</v>
      </c>
      <c r="F14" s="25" t="s">
        <v>63</v>
      </c>
      <c r="G14" s="25" t="s">
        <v>63</v>
      </c>
      <c r="H14" s="25" t="s">
        <v>72</v>
      </c>
      <c r="I14" s="25" t="s">
        <v>63</v>
      </c>
      <c r="J14" s="25" t="s">
        <v>63</v>
      </c>
      <c r="K14" s="25" t="s">
        <v>63</v>
      </c>
      <c r="L14" s="25" t="s">
        <v>63</v>
      </c>
      <c r="M14" s="25" t="s">
        <v>63</v>
      </c>
      <c r="N14" s="25" t="s">
        <v>63</v>
      </c>
      <c r="O14" s="25" t="s">
        <v>72</v>
      </c>
      <c r="P14" s="25" t="s">
        <v>63</v>
      </c>
      <c r="Q14" s="25" t="s">
        <v>63</v>
      </c>
      <c r="R14" s="25" t="s">
        <v>63</v>
      </c>
      <c r="S14" s="25" t="s">
        <v>63</v>
      </c>
      <c r="T14" s="25" t="s">
        <v>63</v>
      </c>
      <c r="U14" s="25" t="s">
        <v>63</v>
      </c>
      <c r="V14" s="25" t="s">
        <v>72</v>
      </c>
      <c r="W14" s="25" t="s">
        <v>63</v>
      </c>
      <c r="X14" s="25" t="s">
        <v>63</v>
      </c>
      <c r="Y14" s="25" t="s">
        <v>63</v>
      </c>
      <c r="Z14" s="25" t="s">
        <v>63</v>
      </c>
      <c r="AA14" s="25" t="s">
        <v>63</v>
      </c>
      <c r="AB14" s="25" t="s">
        <v>63</v>
      </c>
      <c r="AC14" s="25" t="s">
        <v>72</v>
      </c>
      <c r="AD14" s="25" t="s">
        <v>63</v>
      </c>
      <c r="AE14" s="25" t="s">
        <v>63</v>
      </c>
      <c r="AF14" s="25" t="s">
        <v>63</v>
      </c>
      <c r="AG14" s="25" t="s">
        <v>63</v>
      </c>
      <c r="AH14" s="7">
        <f t="shared" ca="1" si="0"/>
        <v>0</v>
      </c>
    </row>
    <row r="15" spans="2:34" ht="30" customHeight="1" x14ac:dyDescent="0.2">
      <c r="B15" t="str">
        <f>Werknemersnamen!B12</f>
        <v>Kacar Abdullah</v>
      </c>
      <c r="C15" s="25" t="s">
        <v>63</v>
      </c>
      <c r="D15" s="25" t="s">
        <v>63</v>
      </c>
      <c r="E15" s="25" t="s">
        <v>63</v>
      </c>
      <c r="F15" s="25" t="s">
        <v>63</v>
      </c>
      <c r="G15" s="25" t="s">
        <v>63</v>
      </c>
      <c r="H15" s="25" t="s">
        <v>72</v>
      </c>
      <c r="I15" s="25" t="s">
        <v>63</v>
      </c>
      <c r="J15" s="25" t="s">
        <v>63</v>
      </c>
      <c r="K15" s="25" t="s">
        <v>63</v>
      </c>
      <c r="L15" s="25" t="s">
        <v>63</v>
      </c>
      <c r="M15" s="25" t="s">
        <v>63</v>
      </c>
      <c r="N15" s="25" t="s">
        <v>63</v>
      </c>
      <c r="O15" s="25" t="s">
        <v>72</v>
      </c>
      <c r="P15" s="25" t="s">
        <v>63</v>
      </c>
      <c r="Q15" s="25" t="s">
        <v>63</v>
      </c>
      <c r="R15" s="25" t="s">
        <v>63</v>
      </c>
      <c r="S15" s="25" t="s">
        <v>63</v>
      </c>
      <c r="T15" s="25" t="s">
        <v>63</v>
      </c>
      <c r="U15" s="25" t="s">
        <v>63</v>
      </c>
      <c r="V15" s="25" t="s">
        <v>72</v>
      </c>
      <c r="W15" s="25" t="s">
        <v>63</v>
      </c>
      <c r="X15" s="25" t="s">
        <v>63</v>
      </c>
      <c r="Y15" s="25" t="s">
        <v>63</v>
      </c>
      <c r="Z15" s="25" t="s">
        <v>63</v>
      </c>
      <c r="AA15" s="25" t="s">
        <v>63</v>
      </c>
      <c r="AB15" s="25" t="s">
        <v>63</v>
      </c>
      <c r="AC15" s="25" t="s">
        <v>72</v>
      </c>
      <c r="AD15" s="25" t="s">
        <v>63</v>
      </c>
      <c r="AE15" s="25" t="s">
        <v>63</v>
      </c>
      <c r="AF15" s="25" t="s">
        <v>63</v>
      </c>
      <c r="AG15" s="25" t="s">
        <v>63</v>
      </c>
      <c r="AH15" s="7">
        <f t="shared" ca="1" si="0"/>
        <v>0</v>
      </c>
    </row>
    <row r="16" spans="2:34" ht="30" customHeight="1" x14ac:dyDescent="0.2">
      <c r="B16" t="str">
        <f>Werknemersnamen!B13</f>
        <v>Kefes Levent</v>
      </c>
      <c r="C16" s="25" t="s">
        <v>63</v>
      </c>
      <c r="D16" s="25" t="s">
        <v>63</v>
      </c>
      <c r="E16" s="25" t="s">
        <v>63</v>
      </c>
      <c r="F16" s="25" t="s">
        <v>63</v>
      </c>
      <c r="G16" s="25" t="s">
        <v>63</v>
      </c>
      <c r="H16" s="25" t="s">
        <v>72</v>
      </c>
      <c r="I16" s="25" t="s">
        <v>63</v>
      </c>
      <c r="J16" s="25" t="s">
        <v>63</v>
      </c>
      <c r="K16" s="25" t="s">
        <v>63</v>
      </c>
      <c r="L16" s="25" t="s">
        <v>63</v>
      </c>
      <c r="M16" s="25" t="s">
        <v>63</v>
      </c>
      <c r="N16" s="25" t="s">
        <v>63</v>
      </c>
      <c r="O16" s="25" t="s">
        <v>72</v>
      </c>
      <c r="P16" s="25" t="s">
        <v>63</v>
      </c>
      <c r="Q16" s="25" t="s">
        <v>63</v>
      </c>
      <c r="R16" s="25" t="s">
        <v>63</v>
      </c>
      <c r="S16" s="25" t="s">
        <v>63</v>
      </c>
      <c r="T16" s="25" t="s">
        <v>63</v>
      </c>
      <c r="U16" s="25" t="s">
        <v>63</v>
      </c>
      <c r="V16" s="25" t="s">
        <v>72</v>
      </c>
      <c r="W16" s="25" t="s">
        <v>63</v>
      </c>
      <c r="X16" s="25" t="s">
        <v>63</v>
      </c>
      <c r="Y16" s="25" t="s">
        <v>63</v>
      </c>
      <c r="Z16" s="25" t="s">
        <v>63</v>
      </c>
      <c r="AA16" s="25" t="s">
        <v>63</v>
      </c>
      <c r="AB16" s="25" t="s">
        <v>63</v>
      </c>
      <c r="AC16" s="25" t="s">
        <v>72</v>
      </c>
      <c r="AD16" s="25" t="s">
        <v>63</v>
      </c>
      <c r="AE16" s="25" t="s">
        <v>63</v>
      </c>
      <c r="AF16" s="25" t="s">
        <v>63</v>
      </c>
      <c r="AG16" s="25" t="s">
        <v>63</v>
      </c>
      <c r="AH16" s="7">
        <f t="shared" ca="1" si="0"/>
        <v>0</v>
      </c>
    </row>
    <row r="17" spans="2:34" ht="30" customHeight="1" x14ac:dyDescent="0.2">
      <c r="B17" t="str">
        <f>Werknemersnamen!B14</f>
        <v>Moualdine Ali</v>
      </c>
      <c r="C17" s="25" t="s">
        <v>63</v>
      </c>
      <c r="D17" s="25" t="s">
        <v>63</v>
      </c>
      <c r="E17" s="25" t="s">
        <v>63</v>
      </c>
      <c r="F17" s="25" t="s">
        <v>63</v>
      </c>
      <c r="G17" s="25" t="s">
        <v>63</v>
      </c>
      <c r="H17" s="25" t="s">
        <v>72</v>
      </c>
      <c r="I17" s="25" t="s">
        <v>63</v>
      </c>
      <c r="J17" s="25" t="s">
        <v>63</v>
      </c>
      <c r="K17" s="25" t="s">
        <v>63</v>
      </c>
      <c r="L17" s="25" t="s">
        <v>63</v>
      </c>
      <c r="M17" s="25" t="s">
        <v>63</v>
      </c>
      <c r="N17" s="25" t="s">
        <v>63</v>
      </c>
      <c r="O17" s="25" t="s">
        <v>72</v>
      </c>
      <c r="P17" s="25" t="s">
        <v>63</v>
      </c>
      <c r="Q17" s="25" t="s">
        <v>63</v>
      </c>
      <c r="R17" s="25" t="s">
        <v>63</v>
      </c>
      <c r="S17" s="25" t="s">
        <v>63</v>
      </c>
      <c r="T17" s="25" t="s">
        <v>63</v>
      </c>
      <c r="U17" s="25" t="s">
        <v>63</v>
      </c>
      <c r="V17" s="25" t="s">
        <v>72</v>
      </c>
      <c r="W17" s="25" t="s">
        <v>63</v>
      </c>
      <c r="X17" s="25" t="s">
        <v>63</v>
      </c>
      <c r="Y17" s="25" t="s">
        <v>63</v>
      </c>
      <c r="Z17" s="25" t="s">
        <v>63</v>
      </c>
      <c r="AA17" s="25" t="s">
        <v>63</v>
      </c>
      <c r="AB17" s="25" t="s">
        <v>63</v>
      </c>
      <c r="AC17" s="25" t="s">
        <v>72</v>
      </c>
      <c r="AD17" s="25" t="s">
        <v>63</v>
      </c>
      <c r="AE17" s="25" t="s">
        <v>63</v>
      </c>
      <c r="AF17" s="25" t="s">
        <v>63</v>
      </c>
      <c r="AG17" s="25" t="s">
        <v>63</v>
      </c>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B19" s="16"/>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2:34" ht="30" customHeight="1" x14ac:dyDescent="0.2">
      <c r="B20" t="s">
        <v>87</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7:AG18">
    <cfRule type="expression" priority="1" stopIfTrue="1">
      <formula>C7=""</formula>
    </cfRule>
    <cfRule type="expression" dxfId="444" priority="2" stopIfTrue="1">
      <formula>C7=KeyCustom2</formula>
    </cfRule>
    <cfRule type="expression" dxfId="443" priority="3" stopIfTrue="1">
      <formula>C7=KeyCustom1</formula>
    </cfRule>
    <cfRule type="expression" dxfId="442" priority="4" stopIfTrue="1">
      <formula>C7=KeySick</formula>
    </cfRule>
    <cfRule type="expression" dxfId="441" priority="5" stopIfTrue="1">
      <formula>C7=KeyPersonal</formula>
    </cfRule>
    <cfRule type="expression" dxfId="440"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{D26C8C80-97D6-124A-91C8-B97293E077BD}</x14:id>
        </ext>
      </extLst>
    </cfRule>
  </conditionalFormatting>
  <dataValidations count="14">
    <dataValidation allowBlank="1" showInputMessage="1" showErrorMessage="1" prompt="De dagen van de maand in deze rij worden automatisch gegenereerd. Voer voor elke dag van de maand in elke kolom het verzuim en het type verzuim van een werknemer in. Leeg betekent geen verzuim" sqref="C6" xr:uid="{3F3A3A69-3FA6-3849-8B04-2681E8634B90}"/>
    <dataValidation allowBlank="1" showInputMessage="1" showErrorMessage="1" prompt="Deze rij definieert de sleutels die worden gebruikt in de tabel: cel C2 is Vakantie, G2 is Persoonlijk en K2 is Ziekteverlof. De cellen N2 en R2 kunnen worden aangepast" sqref="B2" xr:uid="{00000000-0002-0000-0600-000002000000}"/>
    <dataValidation allowBlank="1" showInputMessage="1" showErrorMessage="1" prompt="Voer links een label in om de aangepaste sleutel te beschrijven" sqref="O2:Q2 S2:U2" xr:uid="{00000000-0002-0000-0600-000003000000}"/>
    <dataValidation allowBlank="1" showInputMessage="1" showErrorMessage="1" prompt="Voer een letter in en pas rechts het label aan om een ander sleutelitem toe te voegen" sqref="N2 R2" xr:uid="{00000000-0002-0000-0600-000004000000}"/>
    <dataValidation allowBlank="1" showInputMessage="1" showErrorMessage="1" prompt="De letter &quot;Z&quot; geeft afwezigheid vanwege ziekte aan" sqref="K2" xr:uid="{00000000-0002-0000-0600-000005000000}"/>
    <dataValidation allowBlank="1" showInputMessage="1" showErrorMessage="1" prompt="De letter &quot;P&quot; geeft afwezigheid vanwege persoonlijke redenen aan" sqref="G2" xr:uid="{00000000-0002-0000-0600-000006000000}"/>
    <dataValidation allowBlank="1" showInputMessage="1" showErrorMessage="1" prompt="De letter &quot;V&quot; geeft afwezigheid vanwege vakantie aan" sqref="C2" xr:uid="{00000000-0002-0000-0600-000007000000}"/>
    <dataValidation allowBlank="1" showInputMessage="1" showErrorMessage="1" prompt="De titel wordt automatisch bijgewerkt in deze cel. Als u de titel wilt wijzigen, werk B1 in het januari-werkblad bij" sqref="B1" xr:uid="{00000000-0002-0000-0600-000008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3FCC0240-0F26-2E4E-9F87-97D1C7D1FDF0}"/>
    <dataValidation allowBlank="1" showInputMessage="1" showErrorMessage="1" prompt="Houd de afwezigheid in juli in dit werkblad bij" sqref="A1" xr:uid="{00000000-0002-0000-0600-00000A000000}"/>
    <dataValidation allowBlank="1" showInputMessage="1" showErrorMessage="1" prompt="Maand van dit verzuimschema. Werk het jaar bij in cel AH4. Houd de totalen bij per maand in de laatste cel van de tabel. Namen van werknemers invoeren in tabelkolom B" sqref="B4" xr:uid="{F2212CC6-44C0-D94D-96B6-3FFB94043713}"/>
    <dataValidation allowBlank="1" showInputMessage="1" showErrorMessage="1" prompt="Berekent automatisch het totaal aantal dagen dat een werknemer in deze maand niet afwezig was" sqref="AH6" xr:uid="{E810838B-1849-F84B-A945-0A4E70910F59}"/>
    <dataValidation allowBlank="1" showInputMessage="1" showErrorMessage="1" prompt="Weekdagen in deze rij worden automatisch bijgewerkt voor de maand, overeenkomstig het jaar dat is ingevoerd in AH4. Elke dag van de maand is een kolom om het verzuim en type verzuim van een werknemer te noteren" sqref="C5" xr:uid="{B0674391-4B94-FA49-A3EC-DEDD79033F32}"/>
    <dataValidation allowBlank="1" showInputMessage="1" showErrorMessage="1" prompt="Voer het jaar in deze cel in" sqref="AH4" xr:uid="{0978B56A-DFD7-8148-AAFC-B3B80629125C}"/>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D26C8C80-97D6-124A-91C8-B97293E077BD}">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8">
    <tabColor theme="2" tint="-0.749992370372631"/>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49</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73</v>
      </c>
      <c r="D5" s="1" t="s">
        <v>74</v>
      </c>
      <c r="E5" s="1" t="s">
        <v>75</v>
      </c>
      <c r="F5" s="1" t="s">
        <v>76</v>
      </c>
      <c r="G5" s="1" t="s">
        <v>77</v>
      </c>
      <c r="H5" s="1" t="s">
        <v>78</v>
      </c>
      <c r="I5" s="1" t="s">
        <v>79</v>
      </c>
      <c r="J5" s="1" t="s">
        <v>73</v>
      </c>
      <c r="K5" s="1" t="s">
        <v>74</v>
      </c>
      <c r="L5" s="1" t="s">
        <v>75</v>
      </c>
      <c r="M5" s="1" t="s">
        <v>76</v>
      </c>
      <c r="N5" s="1" t="s">
        <v>77</v>
      </c>
      <c r="O5" s="1" t="s">
        <v>78</v>
      </c>
      <c r="P5" s="1" t="s">
        <v>79</v>
      </c>
      <c r="Q5" s="1" t="s">
        <v>73</v>
      </c>
      <c r="R5" s="1" t="s">
        <v>74</v>
      </c>
      <c r="S5" s="1" t="s">
        <v>75</v>
      </c>
      <c r="T5" s="1" t="s">
        <v>76</v>
      </c>
      <c r="U5" s="1" t="s">
        <v>77</v>
      </c>
      <c r="V5" s="1" t="s">
        <v>78</v>
      </c>
      <c r="W5" s="1" t="s">
        <v>79</v>
      </c>
      <c r="X5" s="1" t="s">
        <v>73</v>
      </c>
      <c r="Y5" s="1" t="s">
        <v>74</v>
      </c>
      <c r="Z5" s="1" t="s">
        <v>75</v>
      </c>
      <c r="AA5" s="1" t="s">
        <v>76</v>
      </c>
      <c r="AB5" s="1" t="s">
        <v>77</v>
      </c>
      <c r="AC5" s="1" t="s">
        <v>78</v>
      </c>
      <c r="AD5" s="1" t="s">
        <v>79</v>
      </c>
      <c r="AE5" s="1" t="s">
        <v>73</v>
      </c>
      <c r="AF5" s="1" t="s">
        <v>74</v>
      </c>
      <c r="AG5" s="1" t="s">
        <v>75</v>
      </c>
      <c r="AH5" s="8"/>
    </row>
    <row r="6" spans="2: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2:34" ht="30" customHeight="1" x14ac:dyDescent="0.2">
      <c r="B7" t="str">
        <f>Werknemersnamen!B4</f>
        <v>Biragoye Isaac</v>
      </c>
      <c r="C7" s="25" t="s">
        <v>63</v>
      </c>
      <c r="D7" s="25" t="s">
        <v>63</v>
      </c>
      <c r="E7" s="25" t="s">
        <v>72</v>
      </c>
      <c r="F7" s="25" t="s">
        <v>63</v>
      </c>
      <c r="G7" s="25" t="s">
        <v>63</v>
      </c>
      <c r="H7" s="25" t="s">
        <v>63</v>
      </c>
      <c r="I7" s="25" t="s">
        <v>63</v>
      </c>
      <c r="J7" s="25" t="s">
        <v>63</v>
      </c>
      <c r="K7" s="25" t="s">
        <v>63</v>
      </c>
      <c r="L7" s="25" t="s">
        <v>72</v>
      </c>
      <c r="M7" s="25" t="s">
        <v>63</v>
      </c>
      <c r="N7" s="25" t="s">
        <v>63</v>
      </c>
      <c r="O7" s="25" t="s">
        <v>63</v>
      </c>
      <c r="P7" s="25" t="s">
        <v>63</v>
      </c>
      <c r="Q7" s="25" t="s">
        <v>63</v>
      </c>
      <c r="R7" s="25" t="s">
        <v>63</v>
      </c>
      <c r="S7" s="25" t="s">
        <v>72</v>
      </c>
      <c r="T7" s="25" t="s">
        <v>63</v>
      </c>
      <c r="U7" s="25" t="s">
        <v>63</v>
      </c>
      <c r="V7" s="25" t="s">
        <v>63</v>
      </c>
      <c r="W7" s="25" t="s">
        <v>63</v>
      </c>
      <c r="X7" s="25" t="s">
        <v>63</v>
      </c>
      <c r="Y7" s="25" t="s">
        <v>63</v>
      </c>
      <c r="Z7" s="25" t="s">
        <v>72</v>
      </c>
      <c r="AA7" s="25" t="s">
        <v>63</v>
      </c>
      <c r="AB7" s="25" t="s">
        <v>63</v>
      </c>
      <c r="AC7" s="25" t="s">
        <v>63</v>
      </c>
      <c r="AD7" s="25" t="s">
        <v>63</v>
      </c>
      <c r="AE7" s="25" t="s">
        <v>63</v>
      </c>
      <c r="AF7" s="25" t="s">
        <v>63</v>
      </c>
      <c r="AG7" s="25" t="s">
        <v>72</v>
      </c>
      <c r="AH7" s="7">
        <f t="shared" ref="AH7:AH18" ca="1" si="0">SUM($C$18:$AH$18)</f>
        <v>0</v>
      </c>
    </row>
    <row r="8" spans="2:34" ht="30" customHeight="1" x14ac:dyDescent="0.2">
      <c r="B8" t="str">
        <f>Werknemersnamen!B5</f>
        <v>Cinar Rafet</v>
      </c>
      <c r="C8" s="25" t="s">
        <v>63</v>
      </c>
      <c r="D8" s="25" t="s">
        <v>63</v>
      </c>
      <c r="E8" s="25" t="s">
        <v>72</v>
      </c>
      <c r="F8" s="25" t="s">
        <v>63</v>
      </c>
      <c r="G8" s="25" t="s">
        <v>63</v>
      </c>
      <c r="H8" s="25" t="s">
        <v>63</v>
      </c>
      <c r="I8" s="25" t="s">
        <v>63</v>
      </c>
      <c r="J8" s="25" t="s">
        <v>63</v>
      </c>
      <c r="K8" s="25" t="s">
        <v>63</v>
      </c>
      <c r="L8" s="25" t="s">
        <v>72</v>
      </c>
      <c r="M8" s="25" t="s">
        <v>63</v>
      </c>
      <c r="N8" s="25" t="s">
        <v>63</v>
      </c>
      <c r="O8" s="25" t="s">
        <v>63</v>
      </c>
      <c r="P8" s="25" t="s">
        <v>63</v>
      </c>
      <c r="Q8" s="25" t="s">
        <v>63</v>
      </c>
      <c r="R8" s="25" t="s">
        <v>63</v>
      </c>
      <c r="S8" s="25" t="s">
        <v>72</v>
      </c>
      <c r="T8" s="25" t="s">
        <v>63</v>
      </c>
      <c r="U8" s="25" t="s">
        <v>63</v>
      </c>
      <c r="V8" s="25" t="s">
        <v>63</v>
      </c>
      <c r="W8" s="25" t="s">
        <v>63</v>
      </c>
      <c r="X8" s="25" t="s">
        <v>63</v>
      </c>
      <c r="Y8" s="25" t="s">
        <v>63</v>
      </c>
      <c r="Z8" s="25" t="s">
        <v>72</v>
      </c>
      <c r="AA8" s="25" t="s">
        <v>63</v>
      </c>
      <c r="AB8" s="25" t="s">
        <v>63</v>
      </c>
      <c r="AC8" s="25" t="s">
        <v>63</v>
      </c>
      <c r="AD8" s="25" t="s">
        <v>63</v>
      </c>
      <c r="AE8" s="25" t="s">
        <v>63</v>
      </c>
      <c r="AF8" s="25" t="s">
        <v>63</v>
      </c>
      <c r="AG8" s="25" t="s">
        <v>72</v>
      </c>
      <c r="AH8" s="7">
        <f t="shared" ca="1" si="0"/>
        <v>0</v>
      </c>
    </row>
    <row r="9" spans="2:34" ht="30" customHeight="1" x14ac:dyDescent="0.2">
      <c r="B9" t="str">
        <f>Werknemersnamen!B6</f>
        <v>Cygora Lukasz Jan</v>
      </c>
      <c r="C9" s="25" t="s">
        <v>63</v>
      </c>
      <c r="D9" s="25" t="s">
        <v>63</v>
      </c>
      <c r="E9" s="25" t="s">
        <v>72</v>
      </c>
      <c r="F9" s="25" t="s">
        <v>63</v>
      </c>
      <c r="G9" s="25" t="s">
        <v>63</v>
      </c>
      <c r="H9" s="25" t="s">
        <v>63</v>
      </c>
      <c r="I9" s="25" t="s">
        <v>63</v>
      </c>
      <c r="J9" s="25" t="s">
        <v>63</v>
      </c>
      <c r="K9" s="25" t="s">
        <v>63</v>
      </c>
      <c r="L9" s="25" t="s">
        <v>72</v>
      </c>
      <c r="M9" s="25" t="s">
        <v>63</v>
      </c>
      <c r="N9" s="25" t="s">
        <v>63</v>
      </c>
      <c r="O9" s="25" t="s">
        <v>63</v>
      </c>
      <c r="P9" s="25" t="s">
        <v>63</v>
      </c>
      <c r="Q9" s="25" t="s">
        <v>63</v>
      </c>
      <c r="R9" s="25" t="s">
        <v>63</v>
      </c>
      <c r="S9" s="25" t="s">
        <v>72</v>
      </c>
      <c r="T9" s="25" t="s">
        <v>63</v>
      </c>
      <c r="U9" s="25" t="s">
        <v>63</v>
      </c>
      <c r="V9" s="25" t="s">
        <v>63</v>
      </c>
      <c r="W9" s="25" t="s">
        <v>63</v>
      </c>
      <c r="X9" s="25" t="s">
        <v>63</v>
      </c>
      <c r="Y9" s="25" t="s">
        <v>63</v>
      </c>
      <c r="Z9" s="25" t="s">
        <v>72</v>
      </c>
      <c r="AA9" s="25" t="s">
        <v>63</v>
      </c>
      <c r="AB9" s="25" t="s">
        <v>63</v>
      </c>
      <c r="AC9" s="25" t="s">
        <v>63</v>
      </c>
      <c r="AD9" s="25" t="s">
        <v>63</v>
      </c>
      <c r="AE9" s="25" t="s">
        <v>63</v>
      </c>
      <c r="AF9" s="25" t="s">
        <v>63</v>
      </c>
      <c r="AG9" s="25" t="s">
        <v>72</v>
      </c>
      <c r="AH9" s="7">
        <f t="shared" ca="1" si="0"/>
        <v>0</v>
      </c>
    </row>
    <row r="10" spans="2:34" ht="30" customHeight="1" x14ac:dyDescent="0.2">
      <c r="B10" t="str">
        <f>Werknemersnamen!B7</f>
        <v>El Karmoudi Taufik</v>
      </c>
      <c r="C10" s="25" t="s">
        <v>63</v>
      </c>
      <c r="D10" s="25" t="s">
        <v>63</v>
      </c>
      <c r="E10" s="25" t="s">
        <v>72</v>
      </c>
      <c r="F10" s="25" t="s">
        <v>63</v>
      </c>
      <c r="G10" s="25" t="s">
        <v>63</v>
      </c>
      <c r="H10" s="25" t="s">
        <v>63</v>
      </c>
      <c r="I10" s="25" t="s">
        <v>63</v>
      </c>
      <c r="J10" s="25" t="s">
        <v>63</v>
      </c>
      <c r="K10" s="25" t="s">
        <v>63</v>
      </c>
      <c r="L10" s="25" t="s">
        <v>72</v>
      </c>
      <c r="M10" s="25" t="s">
        <v>63</v>
      </c>
      <c r="N10" s="25" t="s">
        <v>63</v>
      </c>
      <c r="O10" s="25" t="s">
        <v>63</v>
      </c>
      <c r="P10" s="25" t="s">
        <v>63</v>
      </c>
      <c r="Q10" s="25" t="s">
        <v>63</v>
      </c>
      <c r="R10" s="25" t="s">
        <v>63</v>
      </c>
      <c r="S10" s="25" t="s">
        <v>72</v>
      </c>
      <c r="T10" s="25" t="s">
        <v>63</v>
      </c>
      <c r="U10" s="25" t="s">
        <v>63</v>
      </c>
      <c r="V10" s="25" t="s">
        <v>63</v>
      </c>
      <c r="W10" s="25" t="s">
        <v>63</v>
      </c>
      <c r="X10" s="25" t="s">
        <v>63</v>
      </c>
      <c r="Y10" s="25" t="s">
        <v>63</v>
      </c>
      <c r="Z10" s="25" t="s">
        <v>72</v>
      </c>
      <c r="AA10" s="25" t="s">
        <v>63</v>
      </c>
      <c r="AB10" s="25" t="s">
        <v>63</v>
      </c>
      <c r="AC10" s="25" t="s">
        <v>63</v>
      </c>
      <c r="AD10" s="25" t="s">
        <v>63</v>
      </c>
      <c r="AE10" s="25" t="s">
        <v>63</v>
      </c>
      <c r="AF10" s="25" t="s">
        <v>63</v>
      </c>
      <c r="AG10" s="25" t="s">
        <v>72</v>
      </c>
      <c r="AH10" s="7">
        <f t="shared" ca="1" si="0"/>
        <v>0</v>
      </c>
    </row>
    <row r="11" spans="2:34" ht="30" customHeight="1" x14ac:dyDescent="0.2">
      <c r="B11" t="str">
        <f>Werknemersnamen!B8</f>
        <v>El Maazouzi Abdelilah</v>
      </c>
      <c r="C11" s="25" t="s">
        <v>63</v>
      </c>
      <c r="D11" s="25" t="s">
        <v>63</v>
      </c>
      <c r="E11" s="25" t="s">
        <v>72</v>
      </c>
      <c r="F11" s="25" t="s">
        <v>63</v>
      </c>
      <c r="G11" s="25" t="s">
        <v>63</v>
      </c>
      <c r="H11" s="25" t="s">
        <v>63</v>
      </c>
      <c r="I11" s="25" t="s">
        <v>63</v>
      </c>
      <c r="J11" s="25" t="s">
        <v>63</v>
      </c>
      <c r="K11" s="25" t="s">
        <v>63</v>
      </c>
      <c r="L11" s="25" t="s">
        <v>72</v>
      </c>
      <c r="M11" s="25" t="s">
        <v>63</v>
      </c>
      <c r="N11" s="25" t="s">
        <v>63</v>
      </c>
      <c r="O11" s="25" t="s">
        <v>63</v>
      </c>
      <c r="P11" s="25" t="s">
        <v>63</v>
      </c>
      <c r="Q11" s="25" t="s">
        <v>63</v>
      </c>
      <c r="R11" s="25" t="s">
        <v>63</v>
      </c>
      <c r="S11" s="25" t="s">
        <v>72</v>
      </c>
      <c r="T11" s="25" t="s">
        <v>63</v>
      </c>
      <c r="U11" s="25" t="s">
        <v>63</v>
      </c>
      <c r="V11" s="25" t="s">
        <v>63</v>
      </c>
      <c r="W11" s="25" t="s">
        <v>63</v>
      </c>
      <c r="X11" s="25" t="s">
        <v>63</v>
      </c>
      <c r="Y11" s="25" t="s">
        <v>63</v>
      </c>
      <c r="Z11" s="25" t="s">
        <v>72</v>
      </c>
      <c r="AA11" s="25" t="s">
        <v>63</v>
      </c>
      <c r="AB11" s="25" t="s">
        <v>63</v>
      </c>
      <c r="AC11" s="25" t="s">
        <v>63</v>
      </c>
      <c r="AD11" s="25" t="s">
        <v>63</v>
      </c>
      <c r="AE11" s="25" t="s">
        <v>63</v>
      </c>
      <c r="AF11" s="25" t="s">
        <v>63</v>
      </c>
      <c r="AG11" s="25" t="s">
        <v>72</v>
      </c>
      <c r="AH11" s="7">
        <f t="shared" ca="1" si="0"/>
        <v>0</v>
      </c>
    </row>
    <row r="12" spans="2:34" ht="30" customHeight="1" x14ac:dyDescent="0.2">
      <c r="B12" t="str">
        <f>Werknemersnamen!B9</f>
        <v>Gultekin Muhammed A</v>
      </c>
      <c r="C12" s="25" t="s">
        <v>63</v>
      </c>
      <c r="D12" s="25" t="s">
        <v>63</v>
      </c>
      <c r="E12" s="25" t="s">
        <v>72</v>
      </c>
      <c r="F12" s="25" t="s">
        <v>63</v>
      </c>
      <c r="G12" s="25" t="s">
        <v>63</v>
      </c>
      <c r="H12" s="25" t="s">
        <v>63</v>
      </c>
      <c r="I12" s="25" t="s">
        <v>63</v>
      </c>
      <c r="J12" s="25" t="s">
        <v>63</v>
      </c>
      <c r="K12" s="25" t="s">
        <v>63</v>
      </c>
      <c r="L12" s="25" t="s">
        <v>72</v>
      </c>
      <c r="M12" s="25" t="s">
        <v>63</v>
      </c>
      <c r="N12" s="25" t="s">
        <v>63</v>
      </c>
      <c r="O12" s="25" t="s">
        <v>63</v>
      </c>
      <c r="P12" s="25" t="s">
        <v>63</v>
      </c>
      <c r="Q12" s="25" t="s">
        <v>63</v>
      </c>
      <c r="R12" s="25" t="s">
        <v>63</v>
      </c>
      <c r="S12" s="25" t="s">
        <v>72</v>
      </c>
      <c r="T12" s="25" t="s">
        <v>63</v>
      </c>
      <c r="U12" s="25" t="s">
        <v>63</v>
      </c>
      <c r="V12" s="25" t="s">
        <v>63</v>
      </c>
      <c r="W12" s="25" t="s">
        <v>63</v>
      </c>
      <c r="X12" s="25" t="s">
        <v>63</v>
      </c>
      <c r="Y12" s="25" t="s">
        <v>63</v>
      </c>
      <c r="Z12" s="25" t="s">
        <v>72</v>
      </c>
      <c r="AA12" s="25" t="s">
        <v>63</v>
      </c>
      <c r="AB12" s="25" t="s">
        <v>63</v>
      </c>
      <c r="AC12" s="25" t="s">
        <v>63</v>
      </c>
      <c r="AD12" s="25" t="s">
        <v>63</v>
      </c>
      <c r="AE12" s="25" t="s">
        <v>63</v>
      </c>
      <c r="AF12" s="25" t="s">
        <v>63</v>
      </c>
      <c r="AG12" s="25" t="s">
        <v>72</v>
      </c>
      <c r="AH12" s="7">
        <f t="shared" ca="1" si="0"/>
        <v>0</v>
      </c>
    </row>
    <row r="13" spans="2:34" ht="30" customHeight="1" x14ac:dyDescent="0.2">
      <c r="B13" t="str">
        <f>Werknemersnamen!B10</f>
        <v>Gultekin Muhammed E</v>
      </c>
      <c r="C13" s="25" t="s">
        <v>63</v>
      </c>
      <c r="D13" s="25" t="s">
        <v>63</v>
      </c>
      <c r="E13" s="25" t="s">
        <v>72</v>
      </c>
      <c r="F13" s="25" t="s">
        <v>63</v>
      </c>
      <c r="G13" s="25" t="s">
        <v>63</v>
      </c>
      <c r="H13" s="25" t="s">
        <v>63</v>
      </c>
      <c r="I13" s="25" t="s">
        <v>63</v>
      </c>
      <c r="J13" s="25" t="s">
        <v>63</v>
      </c>
      <c r="K13" s="25" t="s">
        <v>63</v>
      </c>
      <c r="L13" s="25" t="s">
        <v>72</v>
      </c>
      <c r="M13" s="25" t="s">
        <v>63</v>
      </c>
      <c r="N13" s="25" t="s">
        <v>63</v>
      </c>
      <c r="O13" s="25" t="s">
        <v>63</v>
      </c>
      <c r="P13" s="25" t="s">
        <v>63</v>
      </c>
      <c r="Q13" s="25" t="s">
        <v>63</v>
      </c>
      <c r="R13" s="25" t="s">
        <v>63</v>
      </c>
      <c r="S13" s="25" t="s">
        <v>72</v>
      </c>
      <c r="T13" s="25" t="s">
        <v>63</v>
      </c>
      <c r="U13" s="25" t="s">
        <v>63</v>
      </c>
      <c r="V13" s="25" t="s">
        <v>63</v>
      </c>
      <c r="W13" s="25" t="s">
        <v>63</v>
      </c>
      <c r="X13" s="25" t="s">
        <v>63</v>
      </c>
      <c r="Y13" s="25" t="s">
        <v>63</v>
      </c>
      <c r="Z13" s="25" t="s">
        <v>72</v>
      </c>
      <c r="AA13" s="25" t="s">
        <v>63</v>
      </c>
      <c r="AB13" s="25" t="s">
        <v>63</v>
      </c>
      <c r="AC13" s="25" t="s">
        <v>63</v>
      </c>
      <c r="AD13" s="25" t="s">
        <v>63</v>
      </c>
      <c r="AE13" s="25" t="s">
        <v>63</v>
      </c>
      <c r="AF13" s="25" t="s">
        <v>63</v>
      </c>
      <c r="AG13" s="25" t="s">
        <v>72</v>
      </c>
      <c r="AH13" s="7">
        <f t="shared" ca="1" si="0"/>
        <v>0</v>
      </c>
    </row>
    <row r="14" spans="2:34" ht="30" customHeight="1" x14ac:dyDescent="0.2">
      <c r="B14" t="str">
        <f>Werknemersnamen!B11</f>
        <v>Irakoze Patrick</v>
      </c>
      <c r="C14" s="25" t="s">
        <v>63</v>
      </c>
      <c r="D14" s="25" t="s">
        <v>63</v>
      </c>
      <c r="E14" s="25" t="s">
        <v>72</v>
      </c>
      <c r="F14" s="25" t="s">
        <v>63</v>
      </c>
      <c r="G14" s="25" t="s">
        <v>63</v>
      </c>
      <c r="H14" s="25" t="s">
        <v>63</v>
      </c>
      <c r="I14" s="25" t="s">
        <v>63</v>
      </c>
      <c r="J14" s="25" t="s">
        <v>63</v>
      </c>
      <c r="K14" s="25" t="s">
        <v>63</v>
      </c>
      <c r="L14" s="25" t="s">
        <v>72</v>
      </c>
      <c r="M14" s="25" t="s">
        <v>63</v>
      </c>
      <c r="N14" s="25" t="s">
        <v>63</v>
      </c>
      <c r="O14" s="25" t="s">
        <v>63</v>
      </c>
      <c r="P14" s="25" t="s">
        <v>63</v>
      </c>
      <c r="Q14" s="25" t="s">
        <v>63</v>
      </c>
      <c r="R14" s="25" t="s">
        <v>63</v>
      </c>
      <c r="S14" s="25" t="s">
        <v>72</v>
      </c>
      <c r="T14" s="25" t="s">
        <v>63</v>
      </c>
      <c r="U14" s="25" t="s">
        <v>63</v>
      </c>
      <c r="V14" s="25" t="s">
        <v>63</v>
      </c>
      <c r="W14" s="25" t="s">
        <v>63</v>
      </c>
      <c r="X14" s="25" t="s">
        <v>63</v>
      </c>
      <c r="Y14" s="25" t="s">
        <v>63</v>
      </c>
      <c r="Z14" s="25" t="s">
        <v>72</v>
      </c>
      <c r="AA14" s="25" t="s">
        <v>63</v>
      </c>
      <c r="AB14" s="25" t="s">
        <v>63</v>
      </c>
      <c r="AC14" s="25" t="s">
        <v>63</v>
      </c>
      <c r="AD14" s="25" t="s">
        <v>63</v>
      </c>
      <c r="AE14" s="25" t="s">
        <v>63</v>
      </c>
      <c r="AF14" s="25" t="s">
        <v>63</v>
      </c>
      <c r="AG14" s="25" t="s">
        <v>72</v>
      </c>
      <c r="AH14" s="7">
        <f t="shared" ca="1" si="0"/>
        <v>0</v>
      </c>
    </row>
    <row r="15" spans="2:34" ht="30" customHeight="1" x14ac:dyDescent="0.2">
      <c r="B15" t="str">
        <f>Werknemersnamen!B12</f>
        <v>Kacar Abdullah</v>
      </c>
      <c r="C15" s="25" t="s">
        <v>63</v>
      </c>
      <c r="D15" s="25" t="s">
        <v>63</v>
      </c>
      <c r="E15" s="25" t="s">
        <v>72</v>
      </c>
      <c r="F15" s="25" t="s">
        <v>63</v>
      </c>
      <c r="G15" s="25" t="s">
        <v>63</v>
      </c>
      <c r="H15" s="25" t="s">
        <v>63</v>
      </c>
      <c r="I15" s="25" t="s">
        <v>63</v>
      </c>
      <c r="J15" s="25" t="s">
        <v>63</v>
      </c>
      <c r="K15" s="25" t="s">
        <v>63</v>
      </c>
      <c r="L15" s="25" t="s">
        <v>72</v>
      </c>
      <c r="M15" s="25" t="s">
        <v>63</v>
      </c>
      <c r="N15" s="25" t="s">
        <v>63</v>
      </c>
      <c r="O15" s="25" t="s">
        <v>63</v>
      </c>
      <c r="P15" s="25" t="s">
        <v>63</v>
      </c>
      <c r="Q15" s="25" t="s">
        <v>63</v>
      </c>
      <c r="R15" s="25" t="s">
        <v>63</v>
      </c>
      <c r="S15" s="25" t="s">
        <v>72</v>
      </c>
      <c r="T15" s="25" t="s">
        <v>63</v>
      </c>
      <c r="U15" s="25" t="s">
        <v>63</v>
      </c>
      <c r="V15" s="25" t="s">
        <v>63</v>
      </c>
      <c r="W15" s="25" t="s">
        <v>63</v>
      </c>
      <c r="X15" s="25" t="s">
        <v>63</v>
      </c>
      <c r="Y15" s="25" t="s">
        <v>63</v>
      </c>
      <c r="Z15" s="25" t="s">
        <v>72</v>
      </c>
      <c r="AA15" s="25" t="s">
        <v>63</v>
      </c>
      <c r="AB15" s="25" t="s">
        <v>63</v>
      </c>
      <c r="AC15" s="25" t="s">
        <v>63</v>
      </c>
      <c r="AD15" s="25" t="s">
        <v>63</v>
      </c>
      <c r="AE15" s="25" t="s">
        <v>63</v>
      </c>
      <c r="AF15" s="25" t="s">
        <v>63</v>
      </c>
      <c r="AG15" s="25" t="s">
        <v>72</v>
      </c>
      <c r="AH15" s="7">
        <f t="shared" ca="1" si="0"/>
        <v>0</v>
      </c>
    </row>
    <row r="16" spans="2:34" ht="30" customHeight="1" x14ac:dyDescent="0.2">
      <c r="B16" t="str">
        <f>Werknemersnamen!B13</f>
        <v>Kefes Levent</v>
      </c>
      <c r="C16" s="25" t="s">
        <v>63</v>
      </c>
      <c r="D16" s="25" t="s">
        <v>63</v>
      </c>
      <c r="E16" s="25" t="s">
        <v>72</v>
      </c>
      <c r="F16" s="25" t="s">
        <v>63</v>
      </c>
      <c r="G16" s="25" t="s">
        <v>63</v>
      </c>
      <c r="H16" s="25" t="s">
        <v>63</v>
      </c>
      <c r="I16" s="25" t="s">
        <v>63</v>
      </c>
      <c r="J16" s="25" t="s">
        <v>63</v>
      </c>
      <c r="K16" s="25" t="s">
        <v>63</v>
      </c>
      <c r="L16" s="25" t="s">
        <v>72</v>
      </c>
      <c r="M16" s="25" t="s">
        <v>63</v>
      </c>
      <c r="N16" s="25" t="s">
        <v>63</v>
      </c>
      <c r="O16" s="25" t="s">
        <v>63</v>
      </c>
      <c r="P16" s="25" t="s">
        <v>63</v>
      </c>
      <c r="Q16" s="25" t="s">
        <v>63</v>
      </c>
      <c r="R16" s="25" t="s">
        <v>63</v>
      </c>
      <c r="S16" s="25" t="s">
        <v>72</v>
      </c>
      <c r="T16" s="25" t="s">
        <v>63</v>
      </c>
      <c r="U16" s="25" t="s">
        <v>63</v>
      </c>
      <c r="V16" s="25" t="s">
        <v>63</v>
      </c>
      <c r="W16" s="25" t="s">
        <v>63</v>
      </c>
      <c r="X16" s="25" t="s">
        <v>63</v>
      </c>
      <c r="Y16" s="25" t="s">
        <v>63</v>
      </c>
      <c r="Z16" s="25" t="s">
        <v>72</v>
      </c>
      <c r="AA16" s="25" t="s">
        <v>63</v>
      </c>
      <c r="AB16" s="25" t="s">
        <v>63</v>
      </c>
      <c r="AC16" s="25" t="s">
        <v>63</v>
      </c>
      <c r="AD16" s="25" t="s">
        <v>63</v>
      </c>
      <c r="AE16" s="25" t="s">
        <v>63</v>
      </c>
      <c r="AF16" s="25" t="s">
        <v>63</v>
      </c>
      <c r="AG16" s="25" t="s">
        <v>72</v>
      </c>
      <c r="AH16" s="7">
        <f t="shared" ca="1" si="0"/>
        <v>0</v>
      </c>
    </row>
    <row r="17" spans="2:34" ht="30" customHeight="1" x14ac:dyDescent="0.2">
      <c r="B17" t="str">
        <f>Werknemersnamen!B14</f>
        <v>Moualdine Ali</v>
      </c>
      <c r="C17" s="25" t="s">
        <v>63</v>
      </c>
      <c r="D17" s="25" t="s">
        <v>63</v>
      </c>
      <c r="E17" s="25" t="s">
        <v>72</v>
      </c>
      <c r="F17" s="25" t="s">
        <v>63</v>
      </c>
      <c r="G17" s="25" t="s">
        <v>63</v>
      </c>
      <c r="H17" s="25" t="s">
        <v>63</v>
      </c>
      <c r="I17" s="25" t="s">
        <v>63</v>
      </c>
      <c r="J17" s="25" t="s">
        <v>63</v>
      </c>
      <c r="K17" s="25" t="s">
        <v>63</v>
      </c>
      <c r="L17" s="25" t="s">
        <v>72</v>
      </c>
      <c r="M17" s="25" t="s">
        <v>63</v>
      </c>
      <c r="N17" s="25" t="s">
        <v>63</v>
      </c>
      <c r="O17" s="25" t="s">
        <v>63</v>
      </c>
      <c r="P17" s="25" t="s">
        <v>63</v>
      </c>
      <c r="Q17" s="25" t="s">
        <v>63</v>
      </c>
      <c r="R17" s="25" t="s">
        <v>63</v>
      </c>
      <c r="S17" s="25" t="s">
        <v>72</v>
      </c>
      <c r="T17" s="25" t="s">
        <v>63</v>
      </c>
      <c r="U17" s="25" t="s">
        <v>63</v>
      </c>
      <c r="V17" s="25" t="s">
        <v>63</v>
      </c>
      <c r="W17" s="25" t="s">
        <v>63</v>
      </c>
      <c r="X17" s="25" t="s">
        <v>63</v>
      </c>
      <c r="Y17" s="25" t="s">
        <v>63</v>
      </c>
      <c r="Z17" s="25" t="s">
        <v>72</v>
      </c>
      <c r="AA17" s="25" t="s">
        <v>63</v>
      </c>
      <c r="AB17" s="25" t="s">
        <v>63</v>
      </c>
      <c r="AC17" s="25" t="s">
        <v>63</v>
      </c>
      <c r="AD17" s="25" t="s">
        <v>63</v>
      </c>
      <c r="AE17" s="25" t="s">
        <v>63</v>
      </c>
      <c r="AF17" s="25" t="s">
        <v>63</v>
      </c>
      <c r="AG17" s="25" t="s">
        <v>72</v>
      </c>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B19" s="16"/>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2:34" ht="30" customHeight="1" x14ac:dyDescent="0.2">
      <c r="B20" t="s">
        <v>88</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7:AG18">
    <cfRule type="expression" priority="1" stopIfTrue="1">
      <formula>C7=""</formula>
    </cfRule>
    <cfRule type="expression" dxfId="370" priority="2" stopIfTrue="1">
      <formula>C7=KeyCustom2</formula>
    </cfRule>
    <cfRule type="expression" dxfId="369" priority="3" stopIfTrue="1">
      <formula>C7=KeyCustom1</formula>
    </cfRule>
    <cfRule type="expression" dxfId="368" priority="4" stopIfTrue="1">
      <formula>C7=KeySick</formula>
    </cfRule>
    <cfRule type="expression" dxfId="367" priority="5" stopIfTrue="1">
      <formula>C7=KeyPersonal</formula>
    </cfRule>
    <cfRule type="expression" dxfId="366"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{23C14CC5-D6BB-CA4D-939D-1592707CF49E}</x14:id>
        </ext>
      </extLst>
    </cfRule>
  </conditionalFormatting>
  <dataValidations count="14">
    <dataValidation allowBlank="1" showInputMessage="1" showErrorMessage="1" prompt="Houd de afwezigheid in augustus in dit werkblad bij" sqref="A1" xr:uid="{00000000-0002-0000-0700-000003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DB10222F-4949-A142-9ECF-A4855A18D77F}"/>
    <dataValidation allowBlank="1" showInputMessage="1" showErrorMessage="1" prompt="De titel wordt automatisch bijgewerkt in deze cel. Als u de titel wilt wijzigen, werk B1 in het januari-werkblad bij" sqref="B1" xr:uid="{00000000-0002-0000-0700-000005000000}"/>
    <dataValidation allowBlank="1" showInputMessage="1" showErrorMessage="1" prompt="De letter &quot;V&quot; geeft afwezigheid vanwege vakantie aan" sqref="C2" xr:uid="{00000000-0002-0000-0700-000006000000}"/>
    <dataValidation allowBlank="1" showInputMessage="1" showErrorMessage="1" prompt="De letter &quot;P&quot; geeft afwezigheid vanwege persoonlijke redenen aan" sqref="G2" xr:uid="{00000000-0002-0000-0700-000007000000}"/>
    <dataValidation allowBlank="1" showInputMessage="1" showErrorMessage="1" prompt="De letter &quot;Z&quot; geeft afwezigheid vanwege ziekte aan" sqref="K2" xr:uid="{00000000-0002-0000-0700-000008000000}"/>
    <dataValidation allowBlank="1" showInputMessage="1" showErrorMessage="1" prompt="Voer een letter in en pas rechts het label aan om een ander sleutelitem toe te voegen" sqref="N2 R2" xr:uid="{00000000-0002-0000-0700-000009000000}"/>
    <dataValidation allowBlank="1" showInputMessage="1" showErrorMessage="1" prompt="Voer links een label in om de aangepaste sleutel te beschrijven" sqref="O2:Q2 S2:U2" xr:uid="{00000000-0002-0000-0700-00000A000000}"/>
    <dataValidation allowBlank="1" showInputMessage="1" showErrorMessage="1" prompt="Deze rij definieert de sleutels die worden gebruikt in de tabel: cel C2 is Vakantie, G2 is Persoonlijk en K2 is Ziekteverlof. De cellen N2 en R2 kunnen worden aangepast" sqref="B2" xr:uid="{00000000-0002-0000-0700-00000B000000}"/>
    <dataValidation allowBlank="1" showInputMessage="1" showErrorMessage="1" prompt="De dagen van de maand in deze rij worden automatisch gegenereerd. Voer voor elke dag van de maand in elke kolom het verzuim en het type verzuim van een werknemer in. Leeg betekent geen verzuim" sqref="C6" xr:uid="{D8069727-79BD-BB47-B090-B3BA5D381E7E}"/>
    <dataValidation allowBlank="1" showInputMessage="1" showErrorMessage="1" prompt="Maand van dit verzuimschema. Werk het jaar bij in cel AH4. Houd de totalen bij per maand in de laatste cel van de tabel. Namen van werknemers invoeren in tabelkolom B" sqref="B4" xr:uid="{F8B7C1CD-B10A-A244-AFFD-E7341385E54C}"/>
    <dataValidation allowBlank="1" showInputMessage="1" showErrorMessage="1" prompt="Berekent automatisch het totaal aantal dagen dat een werknemer in deze maand niet afwezig was" sqref="AH6" xr:uid="{DDB94DF3-C036-974F-BA4E-61C582CA760A}"/>
    <dataValidation allowBlank="1" showInputMessage="1" showErrorMessage="1" prompt="Weekdagen in deze rij worden automatisch bijgewerkt voor de maand, overeenkomstig het jaar dat is ingevoerd in AH4. Elke dag van de maand is een kolom om het verzuim en type verzuim van een werknemer te noteren" sqref="C5" xr:uid="{060AB3AD-46EB-304A-A5C4-768AB7F705AB}"/>
    <dataValidation allowBlank="1" showInputMessage="1" showErrorMessage="1" prompt="Voer het jaar in deze cel in" sqref="AH4" xr:uid="{387D53CB-EB16-3847-8B8F-A98655BC7FEB}"/>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23C14CC5-D6BB-CA4D-939D-1592707CF49E}">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tabColor theme="2" tint="-0.499984740745262"/>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80</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76</v>
      </c>
      <c r="D5" s="1" t="s">
        <v>77</v>
      </c>
      <c r="E5" s="1" t="s">
        <v>78</v>
      </c>
      <c r="F5" s="1" t="s">
        <v>79</v>
      </c>
      <c r="G5" s="1" t="s">
        <v>73</v>
      </c>
      <c r="H5" s="1" t="s">
        <v>74</v>
      </c>
      <c r="I5" s="1" t="s">
        <v>75</v>
      </c>
      <c r="J5" s="1" t="s">
        <v>76</v>
      </c>
      <c r="K5" s="1" t="s">
        <v>77</v>
      </c>
      <c r="L5" s="1" t="s">
        <v>78</v>
      </c>
      <c r="M5" s="1" t="s">
        <v>79</v>
      </c>
      <c r="N5" s="1" t="s">
        <v>73</v>
      </c>
      <c r="O5" s="1" t="s">
        <v>74</v>
      </c>
      <c r="P5" s="1" t="s">
        <v>75</v>
      </c>
      <c r="Q5" s="1" t="s">
        <v>76</v>
      </c>
      <c r="R5" s="1" t="s">
        <v>77</v>
      </c>
      <c r="S5" s="1" t="s">
        <v>78</v>
      </c>
      <c r="T5" s="1" t="s">
        <v>79</v>
      </c>
      <c r="U5" s="1" t="s">
        <v>73</v>
      </c>
      <c r="V5" s="1" t="s">
        <v>74</v>
      </c>
      <c r="W5" s="1" t="s">
        <v>75</v>
      </c>
      <c r="X5" s="1" t="s">
        <v>76</v>
      </c>
      <c r="Y5" s="1" t="s">
        <v>77</v>
      </c>
      <c r="Z5" s="1" t="s">
        <v>78</v>
      </c>
      <c r="AA5" s="1" t="s">
        <v>79</v>
      </c>
      <c r="AB5" s="1" t="s">
        <v>73</v>
      </c>
      <c r="AC5" s="1" t="s">
        <v>74</v>
      </c>
      <c r="AD5" s="1" t="s">
        <v>75</v>
      </c>
      <c r="AE5" s="1" t="s">
        <v>76</v>
      </c>
      <c r="AF5" s="1" t="s">
        <v>77</v>
      </c>
      <c r="AG5" s="1"/>
      <c r="AH5" s="8"/>
    </row>
    <row r="6" spans="2: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2:34" ht="30" customHeight="1" x14ac:dyDescent="0.2">
      <c r="B7" t="str">
        <f>Werknemersnamen!B4</f>
        <v>Biragoye Isaac</v>
      </c>
      <c r="C7" s="25" t="s">
        <v>63</v>
      </c>
      <c r="D7" s="25" t="s">
        <v>63</v>
      </c>
      <c r="E7" s="25" t="s">
        <v>63</v>
      </c>
      <c r="F7" s="25" t="s">
        <v>63</v>
      </c>
      <c r="G7" s="25" t="s">
        <v>63</v>
      </c>
      <c r="H7" s="25" t="s">
        <v>63</v>
      </c>
      <c r="I7" s="25" t="s">
        <v>72</v>
      </c>
      <c r="J7" s="25" t="s">
        <v>63</v>
      </c>
      <c r="K7" s="25" t="s">
        <v>63</v>
      </c>
      <c r="L7" s="25" t="s">
        <v>63</v>
      </c>
      <c r="M7" s="25" t="s">
        <v>63</v>
      </c>
      <c r="N7" s="25" t="s">
        <v>63</v>
      </c>
      <c r="O7" s="25" t="s">
        <v>63</v>
      </c>
      <c r="P7" s="25" t="s">
        <v>72</v>
      </c>
      <c r="Q7" s="25" t="s">
        <v>63</v>
      </c>
      <c r="R7" s="25" t="s">
        <v>63</v>
      </c>
      <c r="S7" s="25" t="s">
        <v>63</v>
      </c>
      <c r="T7" s="25" t="s">
        <v>63</v>
      </c>
      <c r="U7" s="25" t="s">
        <v>63</v>
      </c>
      <c r="V7" s="25" t="s">
        <v>63</v>
      </c>
      <c r="W7" s="25" t="s">
        <v>72</v>
      </c>
      <c r="X7" s="25" t="s">
        <v>63</v>
      </c>
      <c r="Y7" s="25" t="s">
        <v>63</v>
      </c>
      <c r="Z7" s="25" t="s">
        <v>63</v>
      </c>
      <c r="AA7" s="25" t="s">
        <v>63</v>
      </c>
      <c r="AB7" s="25" t="s">
        <v>63</v>
      </c>
      <c r="AC7" s="25" t="s">
        <v>63</v>
      </c>
      <c r="AD7" s="25" t="s">
        <v>72</v>
      </c>
      <c r="AE7" s="25" t="s">
        <v>63</v>
      </c>
      <c r="AF7" s="25" t="s">
        <v>63</v>
      </c>
      <c r="AG7" s="1"/>
      <c r="AH7" s="7">
        <f t="shared" ref="AH7:AH18" ca="1" si="0">SUM($C$18:$AH$18)</f>
        <v>0</v>
      </c>
    </row>
    <row r="8" spans="2:34" ht="30" customHeight="1" x14ac:dyDescent="0.2">
      <c r="B8" t="str">
        <f>Werknemersnamen!B5</f>
        <v>Cinar Rafet</v>
      </c>
      <c r="C8" s="25" t="s">
        <v>63</v>
      </c>
      <c r="D8" s="25" t="s">
        <v>63</v>
      </c>
      <c r="E8" s="25" t="s">
        <v>63</v>
      </c>
      <c r="F8" s="25" t="s">
        <v>63</v>
      </c>
      <c r="G8" s="25" t="s">
        <v>63</v>
      </c>
      <c r="H8" s="25" t="s">
        <v>63</v>
      </c>
      <c r="I8" s="25" t="s">
        <v>72</v>
      </c>
      <c r="J8" s="25" t="s">
        <v>63</v>
      </c>
      <c r="K8" s="25" t="s">
        <v>63</v>
      </c>
      <c r="L8" s="25" t="s">
        <v>63</v>
      </c>
      <c r="M8" s="25" t="s">
        <v>63</v>
      </c>
      <c r="N8" s="25" t="s">
        <v>63</v>
      </c>
      <c r="O8" s="25" t="s">
        <v>63</v>
      </c>
      <c r="P8" s="25" t="s">
        <v>72</v>
      </c>
      <c r="Q8" s="25" t="s">
        <v>63</v>
      </c>
      <c r="R8" s="25" t="s">
        <v>63</v>
      </c>
      <c r="S8" s="25" t="s">
        <v>63</v>
      </c>
      <c r="T8" s="25" t="s">
        <v>63</v>
      </c>
      <c r="U8" s="25" t="s">
        <v>63</v>
      </c>
      <c r="V8" s="25" t="s">
        <v>63</v>
      </c>
      <c r="W8" s="25" t="s">
        <v>72</v>
      </c>
      <c r="X8" s="25" t="s">
        <v>63</v>
      </c>
      <c r="Y8" s="25" t="s">
        <v>63</v>
      </c>
      <c r="Z8" s="25" t="s">
        <v>63</v>
      </c>
      <c r="AA8" s="25" t="s">
        <v>63</v>
      </c>
      <c r="AB8" s="25" t="s">
        <v>63</v>
      </c>
      <c r="AC8" s="25" t="s">
        <v>63</v>
      </c>
      <c r="AD8" s="25" t="s">
        <v>72</v>
      </c>
      <c r="AE8" s="25" t="s">
        <v>63</v>
      </c>
      <c r="AF8" s="25" t="s">
        <v>63</v>
      </c>
      <c r="AG8" s="1"/>
      <c r="AH8" s="7">
        <f t="shared" ca="1" si="0"/>
        <v>0</v>
      </c>
    </row>
    <row r="9" spans="2:34" ht="30" customHeight="1" x14ac:dyDescent="0.2">
      <c r="B9" t="str">
        <f>Werknemersnamen!B6</f>
        <v>Cygora Lukasz Jan</v>
      </c>
      <c r="C9" s="25" t="s">
        <v>63</v>
      </c>
      <c r="D9" s="25" t="s">
        <v>63</v>
      </c>
      <c r="E9" s="25" t="s">
        <v>63</v>
      </c>
      <c r="F9" s="25" t="s">
        <v>63</v>
      </c>
      <c r="G9" s="25" t="s">
        <v>63</v>
      </c>
      <c r="H9" s="25" t="s">
        <v>63</v>
      </c>
      <c r="I9" s="25" t="s">
        <v>72</v>
      </c>
      <c r="J9" s="25" t="s">
        <v>63</v>
      </c>
      <c r="K9" s="25" t="s">
        <v>63</v>
      </c>
      <c r="L9" s="25" t="s">
        <v>63</v>
      </c>
      <c r="M9" s="25" t="s">
        <v>63</v>
      </c>
      <c r="N9" s="25" t="s">
        <v>63</v>
      </c>
      <c r="O9" s="25" t="s">
        <v>63</v>
      </c>
      <c r="P9" s="25" t="s">
        <v>72</v>
      </c>
      <c r="Q9" s="25" t="s">
        <v>63</v>
      </c>
      <c r="R9" s="25" t="s">
        <v>63</v>
      </c>
      <c r="S9" s="25" t="s">
        <v>63</v>
      </c>
      <c r="T9" s="25" t="s">
        <v>63</v>
      </c>
      <c r="U9" s="25" t="s">
        <v>63</v>
      </c>
      <c r="V9" s="25" t="s">
        <v>63</v>
      </c>
      <c r="W9" s="25" t="s">
        <v>72</v>
      </c>
      <c r="X9" s="25" t="s">
        <v>63</v>
      </c>
      <c r="Y9" s="25" t="s">
        <v>63</v>
      </c>
      <c r="Z9" s="25" t="s">
        <v>63</v>
      </c>
      <c r="AA9" s="25" t="s">
        <v>63</v>
      </c>
      <c r="AB9" s="25" t="s">
        <v>63</v>
      </c>
      <c r="AC9" s="25" t="s">
        <v>63</v>
      </c>
      <c r="AD9" s="25" t="s">
        <v>72</v>
      </c>
      <c r="AE9" s="25" t="s">
        <v>63</v>
      </c>
      <c r="AF9" s="25" t="s">
        <v>63</v>
      </c>
      <c r="AG9" s="1"/>
      <c r="AH9" s="7">
        <f t="shared" ca="1" si="0"/>
        <v>0</v>
      </c>
    </row>
    <row r="10" spans="2:34" ht="30" customHeight="1" x14ac:dyDescent="0.2">
      <c r="B10" t="str">
        <f>Werknemersnamen!B7</f>
        <v>El Karmoudi Taufik</v>
      </c>
      <c r="C10" s="25" t="s">
        <v>63</v>
      </c>
      <c r="D10" s="25" t="s">
        <v>63</v>
      </c>
      <c r="E10" s="25" t="s">
        <v>63</v>
      </c>
      <c r="F10" s="25" t="s">
        <v>63</v>
      </c>
      <c r="G10" s="25" t="s">
        <v>63</v>
      </c>
      <c r="H10" s="25" t="s">
        <v>63</v>
      </c>
      <c r="I10" s="25" t="s">
        <v>72</v>
      </c>
      <c r="J10" s="25" t="s">
        <v>63</v>
      </c>
      <c r="K10" s="25" t="s">
        <v>63</v>
      </c>
      <c r="L10" s="25" t="s">
        <v>63</v>
      </c>
      <c r="M10" s="25" t="s">
        <v>63</v>
      </c>
      <c r="N10" s="25" t="s">
        <v>63</v>
      </c>
      <c r="O10" s="25" t="s">
        <v>63</v>
      </c>
      <c r="P10" s="25" t="s">
        <v>72</v>
      </c>
      <c r="Q10" s="25" t="s">
        <v>63</v>
      </c>
      <c r="R10" s="25" t="s">
        <v>63</v>
      </c>
      <c r="S10" s="25" t="s">
        <v>63</v>
      </c>
      <c r="T10" s="25" t="s">
        <v>63</v>
      </c>
      <c r="U10" s="25" t="s">
        <v>63</v>
      </c>
      <c r="V10" s="25" t="s">
        <v>63</v>
      </c>
      <c r="W10" s="25" t="s">
        <v>72</v>
      </c>
      <c r="X10" s="25" t="s">
        <v>63</v>
      </c>
      <c r="Y10" s="25" t="s">
        <v>63</v>
      </c>
      <c r="Z10" s="25" t="s">
        <v>63</v>
      </c>
      <c r="AA10" s="25" t="s">
        <v>63</v>
      </c>
      <c r="AB10" s="25" t="s">
        <v>63</v>
      </c>
      <c r="AC10" s="25" t="s">
        <v>63</v>
      </c>
      <c r="AD10" s="25" t="s">
        <v>72</v>
      </c>
      <c r="AE10" s="25" t="s">
        <v>63</v>
      </c>
      <c r="AF10" s="25" t="s">
        <v>63</v>
      </c>
      <c r="AG10" s="1"/>
      <c r="AH10" s="7">
        <f t="shared" ca="1" si="0"/>
        <v>0</v>
      </c>
    </row>
    <row r="11" spans="2:34" ht="30" customHeight="1" x14ac:dyDescent="0.2">
      <c r="B11" t="str">
        <f>Werknemersnamen!B8</f>
        <v>El Maazouzi Abdelilah</v>
      </c>
      <c r="C11" s="25" t="s">
        <v>63</v>
      </c>
      <c r="D11" s="25" t="s">
        <v>63</v>
      </c>
      <c r="E11" s="25" t="s">
        <v>63</v>
      </c>
      <c r="F11" s="25" t="s">
        <v>63</v>
      </c>
      <c r="G11" s="25" t="s">
        <v>63</v>
      </c>
      <c r="H11" s="25" t="s">
        <v>63</v>
      </c>
      <c r="I11" s="25" t="s">
        <v>72</v>
      </c>
      <c r="J11" s="25" t="s">
        <v>63</v>
      </c>
      <c r="K11" s="25" t="s">
        <v>63</v>
      </c>
      <c r="L11" s="25" t="s">
        <v>63</v>
      </c>
      <c r="M11" s="25" t="s">
        <v>63</v>
      </c>
      <c r="N11" s="25" t="s">
        <v>63</v>
      </c>
      <c r="O11" s="25" t="s">
        <v>63</v>
      </c>
      <c r="P11" s="25" t="s">
        <v>72</v>
      </c>
      <c r="Q11" s="25" t="s">
        <v>63</v>
      </c>
      <c r="R11" s="25" t="s">
        <v>63</v>
      </c>
      <c r="S11" s="25" t="s">
        <v>63</v>
      </c>
      <c r="T11" s="25" t="s">
        <v>63</v>
      </c>
      <c r="U11" s="25" t="s">
        <v>63</v>
      </c>
      <c r="V11" s="25" t="s">
        <v>63</v>
      </c>
      <c r="W11" s="25" t="s">
        <v>72</v>
      </c>
      <c r="X11" s="25" t="s">
        <v>63</v>
      </c>
      <c r="Y11" s="25" t="s">
        <v>63</v>
      </c>
      <c r="Z11" s="25" t="s">
        <v>63</v>
      </c>
      <c r="AA11" s="25" t="s">
        <v>63</v>
      </c>
      <c r="AB11" s="25" t="s">
        <v>63</v>
      </c>
      <c r="AC11" s="25" t="s">
        <v>63</v>
      </c>
      <c r="AD11" s="25" t="s">
        <v>72</v>
      </c>
      <c r="AE11" s="25" t="s">
        <v>63</v>
      </c>
      <c r="AF11" s="25" t="s">
        <v>63</v>
      </c>
      <c r="AG11" s="1"/>
      <c r="AH11" s="7">
        <f t="shared" ca="1" si="0"/>
        <v>0</v>
      </c>
    </row>
    <row r="12" spans="2:34" ht="30" customHeight="1" x14ac:dyDescent="0.2">
      <c r="B12" t="str">
        <f>Werknemersnamen!B9</f>
        <v>Gultekin Muhammed A</v>
      </c>
      <c r="C12" s="25" t="s">
        <v>63</v>
      </c>
      <c r="D12" s="25" t="s">
        <v>63</v>
      </c>
      <c r="E12" s="25" t="s">
        <v>63</v>
      </c>
      <c r="F12" s="25" t="s">
        <v>63</v>
      </c>
      <c r="G12" s="25" t="s">
        <v>63</v>
      </c>
      <c r="H12" s="25" t="s">
        <v>63</v>
      </c>
      <c r="I12" s="25" t="s">
        <v>72</v>
      </c>
      <c r="J12" s="25" t="s">
        <v>63</v>
      </c>
      <c r="K12" s="25" t="s">
        <v>63</v>
      </c>
      <c r="L12" s="25" t="s">
        <v>63</v>
      </c>
      <c r="M12" s="25" t="s">
        <v>63</v>
      </c>
      <c r="N12" s="25" t="s">
        <v>63</v>
      </c>
      <c r="O12" s="25" t="s">
        <v>63</v>
      </c>
      <c r="P12" s="25" t="s">
        <v>72</v>
      </c>
      <c r="Q12" s="25" t="s">
        <v>63</v>
      </c>
      <c r="R12" s="25" t="s">
        <v>63</v>
      </c>
      <c r="S12" s="25" t="s">
        <v>63</v>
      </c>
      <c r="T12" s="25" t="s">
        <v>63</v>
      </c>
      <c r="U12" s="25" t="s">
        <v>63</v>
      </c>
      <c r="V12" s="25" t="s">
        <v>63</v>
      </c>
      <c r="W12" s="25" t="s">
        <v>72</v>
      </c>
      <c r="X12" s="25" t="s">
        <v>63</v>
      </c>
      <c r="Y12" s="25" t="s">
        <v>63</v>
      </c>
      <c r="Z12" s="25" t="s">
        <v>63</v>
      </c>
      <c r="AA12" s="25" t="s">
        <v>63</v>
      </c>
      <c r="AB12" s="25" t="s">
        <v>63</v>
      </c>
      <c r="AC12" s="25" t="s">
        <v>63</v>
      </c>
      <c r="AD12" s="25" t="s">
        <v>72</v>
      </c>
      <c r="AE12" s="25" t="s">
        <v>63</v>
      </c>
      <c r="AF12" s="25" t="s">
        <v>63</v>
      </c>
      <c r="AG12" s="1"/>
      <c r="AH12" s="7">
        <f t="shared" ca="1" si="0"/>
        <v>0</v>
      </c>
    </row>
    <row r="13" spans="2:34" ht="30" customHeight="1" x14ac:dyDescent="0.2">
      <c r="B13" t="str">
        <f>Werknemersnamen!B10</f>
        <v>Gultekin Muhammed E</v>
      </c>
      <c r="C13" s="25" t="s">
        <v>63</v>
      </c>
      <c r="D13" s="25" t="s">
        <v>63</v>
      </c>
      <c r="E13" s="25" t="s">
        <v>63</v>
      </c>
      <c r="F13" s="25" t="s">
        <v>63</v>
      </c>
      <c r="G13" s="25" t="s">
        <v>63</v>
      </c>
      <c r="H13" s="25" t="s">
        <v>63</v>
      </c>
      <c r="I13" s="25" t="s">
        <v>72</v>
      </c>
      <c r="J13" s="25" t="s">
        <v>63</v>
      </c>
      <c r="K13" s="25" t="s">
        <v>63</v>
      </c>
      <c r="L13" s="25" t="s">
        <v>63</v>
      </c>
      <c r="M13" s="25" t="s">
        <v>63</v>
      </c>
      <c r="N13" s="25" t="s">
        <v>63</v>
      </c>
      <c r="O13" s="25" t="s">
        <v>63</v>
      </c>
      <c r="P13" s="25" t="s">
        <v>72</v>
      </c>
      <c r="Q13" s="25" t="s">
        <v>63</v>
      </c>
      <c r="R13" s="25" t="s">
        <v>63</v>
      </c>
      <c r="S13" s="25" t="s">
        <v>63</v>
      </c>
      <c r="T13" s="25" t="s">
        <v>63</v>
      </c>
      <c r="U13" s="25" t="s">
        <v>63</v>
      </c>
      <c r="V13" s="25" t="s">
        <v>63</v>
      </c>
      <c r="W13" s="25" t="s">
        <v>72</v>
      </c>
      <c r="X13" s="25" t="s">
        <v>63</v>
      </c>
      <c r="Y13" s="25" t="s">
        <v>63</v>
      </c>
      <c r="Z13" s="25" t="s">
        <v>63</v>
      </c>
      <c r="AA13" s="25" t="s">
        <v>63</v>
      </c>
      <c r="AB13" s="25" t="s">
        <v>63</v>
      </c>
      <c r="AC13" s="25" t="s">
        <v>63</v>
      </c>
      <c r="AD13" s="25" t="s">
        <v>72</v>
      </c>
      <c r="AE13" s="25" t="s">
        <v>63</v>
      </c>
      <c r="AF13" s="25" t="s">
        <v>63</v>
      </c>
      <c r="AG13" s="1"/>
      <c r="AH13" s="7">
        <f t="shared" ca="1" si="0"/>
        <v>0</v>
      </c>
    </row>
    <row r="14" spans="2:34" ht="30" customHeight="1" x14ac:dyDescent="0.2">
      <c r="B14" t="str">
        <f>Werknemersnamen!B11</f>
        <v>Irakoze Patrick</v>
      </c>
      <c r="C14" s="25" t="s">
        <v>63</v>
      </c>
      <c r="D14" s="25" t="s">
        <v>63</v>
      </c>
      <c r="E14" s="25" t="s">
        <v>63</v>
      </c>
      <c r="F14" s="25" t="s">
        <v>63</v>
      </c>
      <c r="G14" s="25" t="s">
        <v>63</v>
      </c>
      <c r="H14" s="25" t="s">
        <v>63</v>
      </c>
      <c r="I14" s="25" t="s">
        <v>72</v>
      </c>
      <c r="J14" s="25" t="s">
        <v>63</v>
      </c>
      <c r="K14" s="25" t="s">
        <v>63</v>
      </c>
      <c r="L14" s="25" t="s">
        <v>63</v>
      </c>
      <c r="M14" s="25" t="s">
        <v>63</v>
      </c>
      <c r="N14" s="25" t="s">
        <v>63</v>
      </c>
      <c r="O14" s="25" t="s">
        <v>63</v>
      </c>
      <c r="P14" s="25" t="s">
        <v>72</v>
      </c>
      <c r="Q14" s="25" t="s">
        <v>63</v>
      </c>
      <c r="R14" s="25" t="s">
        <v>63</v>
      </c>
      <c r="S14" s="25" t="s">
        <v>63</v>
      </c>
      <c r="T14" s="25" t="s">
        <v>63</v>
      </c>
      <c r="U14" s="25" t="s">
        <v>63</v>
      </c>
      <c r="V14" s="25" t="s">
        <v>63</v>
      </c>
      <c r="W14" s="25" t="s">
        <v>72</v>
      </c>
      <c r="X14" s="25" t="s">
        <v>63</v>
      </c>
      <c r="Y14" s="25" t="s">
        <v>63</v>
      </c>
      <c r="Z14" s="25" t="s">
        <v>63</v>
      </c>
      <c r="AA14" s="25" t="s">
        <v>63</v>
      </c>
      <c r="AB14" s="25" t="s">
        <v>63</v>
      </c>
      <c r="AC14" s="25" t="s">
        <v>63</v>
      </c>
      <c r="AD14" s="25" t="s">
        <v>72</v>
      </c>
      <c r="AE14" s="25" t="s">
        <v>63</v>
      </c>
      <c r="AF14" s="25" t="s">
        <v>63</v>
      </c>
      <c r="AG14" s="1"/>
      <c r="AH14" s="7">
        <f t="shared" ca="1" si="0"/>
        <v>0</v>
      </c>
    </row>
    <row r="15" spans="2:34" ht="30" customHeight="1" x14ac:dyDescent="0.2">
      <c r="B15" t="str">
        <f>Werknemersnamen!B12</f>
        <v>Kacar Abdullah</v>
      </c>
      <c r="C15" s="25" t="s">
        <v>63</v>
      </c>
      <c r="D15" s="25" t="s">
        <v>63</v>
      </c>
      <c r="E15" s="25" t="s">
        <v>63</v>
      </c>
      <c r="F15" s="25" t="s">
        <v>63</v>
      </c>
      <c r="G15" s="25" t="s">
        <v>63</v>
      </c>
      <c r="H15" s="25" t="s">
        <v>63</v>
      </c>
      <c r="I15" s="25" t="s">
        <v>72</v>
      </c>
      <c r="J15" s="25" t="s">
        <v>63</v>
      </c>
      <c r="K15" s="25" t="s">
        <v>63</v>
      </c>
      <c r="L15" s="25" t="s">
        <v>63</v>
      </c>
      <c r="M15" s="25" t="s">
        <v>63</v>
      </c>
      <c r="N15" s="25" t="s">
        <v>63</v>
      </c>
      <c r="O15" s="25" t="s">
        <v>63</v>
      </c>
      <c r="P15" s="25" t="s">
        <v>72</v>
      </c>
      <c r="Q15" s="25" t="s">
        <v>63</v>
      </c>
      <c r="R15" s="25" t="s">
        <v>63</v>
      </c>
      <c r="S15" s="25" t="s">
        <v>63</v>
      </c>
      <c r="T15" s="25" t="s">
        <v>63</v>
      </c>
      <c r="U15" s="25" t="s">
        <v>63</v>
      </c>
      <c r="V15" s="25" t="s">
        <v>63</v>
      </c>
      <c r="W15" s="25" t="s">
        <v>72</v>
      </c>
      <c r="X15" s="25" t="s">
        <v>63</v>
      </c>
      <c r="Y15" s="25" t="s">
        <v>63</v>
      </c>
      <c r="Z15" s="25" t="s">
        <v>63</v>
      </c>
      <c r="AA15" s="25" t="s">
        <v>63</v>
      </c>
      <c r="AB15" s="25" t="s">
        <v>63</v>
      </c>
      <c r="AC15" s="25" t="s">
        <v>63</v>
      </c>
      <c r="AD15" s="25" t="s">
        <v>72</v>
      </c>
      <c r="AE15" s="25" t="s">
        <v>63</v>
      </c>
      <c r="AF15" s="25" t="s">
        <v>63</v>
      </c>
      <c r="AG15" s="1"/>
      <c r="AH15" s="7">
        <f t="shared" ca="1" si="0"/>
        <v>0</v>
      </c>
    </row>
    <row r="16" spans="2:34" ht="30" customHeight="1" x14ac:dyDescent="0.2">
      <c r="B16" t="str">
        <f>Werknemersnamen!B13</f>
        <v>Kefes Levent</v>
      </c>
      <c r="C16" s="25" t="s">
        <v>63</v>
      </c>
      <c r="D16" s="25" t="s">
        <v>63</v>
      </c>
      <c r="E16" s="25" t="s">
        <v>63</v>
      </c>
      <c r="F16" s="25" t="s">
        <v>63</v>
      </c>
      <c r="G16" s="25" t="s">
        <v>63</v>
      </c>
      <c r="H16" s="25" t="s">
        <v>63</v>
      </c>
      <c r="I16" s="25" t="s">
        <v>72</v>
      </c>
      <c r="J16" s="25" t="s">
        <v>63</v>
      </c>
      <c r="K16" s="25" t="s">
        <v>63</v>
      </c>
      <c r="L16" s="25" t="s">
        <v>63</v>
      </c>
      <c r="M16" s="25" t="s">
        <v>63</v>
      </c>
      <c r="N16" s="25" t="s">
        <v>63</v>
      </c>
      <c r="O16" s="25" t="s">
        <v>63</v>
      </c>
      <c r="P16" s="25" t="s">
        <v>72</v>
      </c>
      <c r="Q16" s="25" t="s">
        <v>63</v>
      </c>
      <c r="R16" s="25" t="s">
        <v>63</v>
      </c>
      <c r="S16" s="25" t="s">
        <v>63</v>
      </c>
      <c r="T16" s="25" t="s">
        <v>63</v>
      </c>
      <c r="U16" s="25" t="s">
        <v>63</v>
      </c>
      <c r="V16" s="25" t="s">
        <v>63</v>
      </c>
      <c r="W16" s="25" t="s">
        <v>72</v>
      </c>
      <c r="X16" s="25" t="s">
        <v>63</v>
      </c>
      <c r="Y16" s="25" t="s">
        <v>63</v>
      </c>
      <c r="Z16" s="25" t="s">
        <v>63</v>
      </c>
      <c r="AA16" s="25" t="s">
        <v>63</v>
      </c>
      <c r="AB16" s="25" t="s">
        <v>63</v>
      </c>
      <c r="AC16" s="25" t="s">
        <v>63</v>
      </c>
      <c r="AD16" s="25" t="s">
        <v>72</v>
      </c>
      <c r="AE16" s="25" t="s">
        <v>63</v>
      </c>
      <c r="AF16" s="25" t="s">
        <v>63</v>
      </c>
      <c r="AG16" s="1"/>
      <c r="AH16" s="7">
        <f t="shared" ca="1" si="0"/>
        <v>0</v>
      </c>
    </row>
    <row r="17" spans="2:34" ht="30" customHeight="1" x14ac:dyDescent="0.2">
      <c r="B17" t="str">
        <f>Werknemersnamen!B14</f>
        <v>Moualdine Ali</v>
      </c>
      <c r="C17" s="25" t="s">
        <v>63</v>
      </c>
      <c r="D17" s="25" t="s">
        <v>63</v>
      </c>
      <c r="E17" s="25" t="s">
        <v>63</v>
      </c>
      <c r="F17" s="25" t="s">
        <v>63</v>
      </c>
      <c r="G17" s="25" t="s">
        <v>63</v>
      </c>
      <c r="H17" s="25" t="s">
        <v>63</v>
      </c>
      <c r="I17" s="25" t="s">
        <v>72</v>
      </c>
      <c r="J17" s="25" t="s">
        <v>63</v>
      </c>
      <c r="K17" s="25" t="s">
        <v>63</v>
      </c>
      <c r="L17" s="25" t="s">
        <v>63</v>
      </c>
      <c r="M17" s="25" t="s">
        <v>63</v>
      </c>
      <c r="N17" s="25" t="s">
        <v>63</v>
      </c>
      <c r="O17" s="25" t="s">
        <v>63</v>
      </c>
      <c r="P17" s="25" t="s">
        <v>72</v>
      </c>
      <c r="Q17" s="25" t="s">
        <v>63</v>
      </c>
      <c r="R17" s="25" t="s">
        <v>63</v>
      </c>
      <c r="S17" s="25" t="s">
        <v>63</v>
      </c>
      <c r="T17" s="25" t="s">
        <v>63</v>
      </c>
      <c r="U17" s="25" t="s">
        <v>63</v>
      </c>
      <c r="V17" s="25" t="s">
        <v>63</v>
      </c>
      <c r="W17" s="25" t="s">
        <v>72</v>
      </c>
      <c r="X17" s="25" t="s">
        <v>63</v>
      </c>
      <c r="Y17" s="25" t="s">
        <v>63</v>
      </c>
      <c r="Z17" s="25" t="s">
        <v>63</v>
      </c>
      <c r="AA17" s="25" t="s">
        <v>63</v>
      </c>
      <c r="AB17" s="25" t="s">
        <v>63</v>
      </c>
      <c r="AC17" s="25" t="s">
        <v>63</v>
      </c>
      <c r="AD17" s="25" t="s">
        <v>72</v>
      </c>
      <c r="AE17" s="25" t="s">
        <v>63</v>
      </c>
      <c r="AF17" s="25" t="s">
        <v>63</v>
      </c>
      <c r="AG17" s="1"/>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B19" s="16"/>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2:34" ht="30" customHeight="1" x14ac:dyDescent="0.2">
      <c r="B20" t="s">
        <v>89</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7:AG18">
    <cfRule type="expression" priority="1" stopIfTrue="1">
      <formula>C7=""</formula>
    </cfRule>
    <cfRule type="expression" dxfId="296" priority="2" stopIfTrue="1">
      <formula>C7=KeyCustom2</formula>
    </cfRule>
    <cfRule type="expression" dxfId="295" priority="3" stopIfTrue="1">
      <formula>C7=KeyCustom1</formula>
    </cfRule>
    <cfRule type="expression" dxfId="294" priority="4" stopIfTrue="1">
      <formula>C7=KeySick</formula>
    </cfRule>
    <cfRule type="expression" dxfId="293" priority="5" stopIfTrue="1">
      <formula>C7=KeyPersonal</formula>
    </cfRule>
    <cfRule type="expression" dxfId="292"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{3B914529-5855-4E4E-9411-2E5EF1C66DDE}</x14:id>
        </ext>
      </extLst>
    </cfRule>
  </conditionalFormatting>
  <dataValidations count="14">
    <dataValidation allowBlank="1" showInputMessage="1" showErrorMessage="1" prompt="De dagen van de maand in deze rij worden automatisch gegenereerd. Voer voor elke dag van de maand in elke kolom het verzuim en het type verzuim van een werknemer in. Leeg betekent geen verzuim" sqref="C6" xr:uid="{298D484F-E1AA-C642-BF62-73B937C8084F}"/>
    <dataValidation allowBlank="1" showInputMessage="1" showErrorMessage="1" prompt="Deze rij definieert de sleutels die worden gebruikt in de tabel: cel C2 is Vakantie, G2 is Persoonlijk en K2 is Ziekteverlof. De cellen N2 en R2 kunnen worden aangepast" sqref="B2" xr:uid="{00000000-0002-0000-0800-000002000000}"/>
    <dataValidation allowBlank="1" showInputMessage="1" showErrorMessage="1" prompt="Voer links een label in om de aangepaste sleutel te beschrijven" sqref="O2:Q2 S2:U2" xr:uid="{00000000-0002-0000-0800-000003000000}"/>
    <dataValidation allowBlank="1" showInputMessage="1" showErrorMessage="1" prompt="Voer een letter in en pas rechts het label aan om een ander sleutelitem toe te voegen" sqref="N2 R2" xr:uid="{00000000-0002-0000-0800-000004000000}"/>
    <dataValidation allowBlank="1" showInputMessage="1" showErrorMessage="1" prompt="De letter &quot;Z&quot; geeft afwezigheid vanwege ziekte aan" sqref="K2" xr:uid="{00000000-0002-0000-0800-000005000000}"/>
    <dataValidation allowBlank="1" showInputMessage="1" showErrorMessage="1" prompt="De letter &quot;P&quot; geeft afwezigheid vanwege persoonlijke redenen aan" sqref="G2" xr:uid="{00000000-0002-0000-0800-000006000000}"/>
    <dataValidation allowBlank="1" showInputMessage="1" showErrorMessage="1" prompt="De letter &quot;V&quot; geeft afwezigheid vanwege vakantie aan" sqref="C2" xr:uid="{00000000-0002-0000-0800-000007000000}"/>
    <dataValidation allowBlank="1" showInputMessage="1" showErrorMessage="1" prompt="De titel wordt automatisch bijgewerkt in deze cel. Als u de titel wilt wijzigen, werk B1 in het januari-werkblad bij" sqref="B1" xr:uid="{00000000-0002-0000-0800-000008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6D4D593E-FB12-E546-8AA1-0BA31E1D6F98}"/>
    <dataValidation allowBlank="1" showInputMessage="1" showErrorMessage="1" prompt="Houd de afwezigheid in september in dit werkblad bij" sqref="A1" xr:uid="{00000000-0002-0000-0800-00000A000000}"/>
    <dataValidation allowBlank="1" showInputMessage="1" showErrorMessage="1" prompt="Maand van dit verzuimschema. Werk het jaar bij in cel AH4. Houd de totalen bij per maand in de laatste cel van de tabel. Namen van werknemers invoeren in tabelkolom B" sqref="B4" xr:uid="{604CF73D-4B3F-1042-8269-769647AB6AC6}"/>
    <dataValidation allowBlank="1" showInputMessage="1" showErrorMessage="1" prompt="Berekent automatisch het totaal aantal dagen dat een werknemer in deze maand niet afwezig was" sqref="AH6" xr:uid="{83F812A5-C1E4-864D-9385-003A65D265BA}"/>
    <dataValidation allowBlank="1" showInputMessage="1" showErrorMessage="1" prompt="Weekdagen in deze rij worden automatisch bijgewerkt voor de maand, overeenkomstig het jaar dat is ingevoerd in AH4. Elke dag van de maand is een kolom om het verzuim en type verzuim van een werknemer te noteren" sqref="C5" xr:uid="{79595434-C985-2D45-A38C-E9E6C311EF39}"/>
    <dataValidation allowBlank="1" showInputMessage="1" showErrorMessage="1" prompt="Voer het jaar in deze cel in" sqref="AH4" xr:uid="{CD3D1972-E5F7-4649-9106-1C2FB7528EE9}"/>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3B914529-5855-4E4E-9411-2E5EF1C66DDE}">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0">
    <tabColor theme="2" tint="-0.249977111117893"/>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50</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78</v>
      </c>
      <c r="D5" s="1" t="s">
        <v>79</v>
      </c>
      <c r="E5" s="1" t="s">
        <v>73</v>
      </c>
      <c r="F5" s="1" t="s">
        <v>74</v>
      </c>
      <c r="G5" s="1" t="s">
        <v>75</v>
      </c>
      <c r="H5" s="1" t="s">
        <v>76</v>
      </c>
      <c r="I5" s="1" t="s">
        <v>77</v>
      </c>
      <c r="J5" s="1" t="s">
        <v>78</v>
      </c>
      <c r="K5" s="1" t="s">
        <v>79</v>
      </c>
      <c r="L5" s="1" t="s">
        <v>73</v>
      </c>
      <c r="M5" s="1" t="s">
        <v>74</v>
      </c>
      <c r="N5" s="1" t="s">
        <v>75</v>
      </c>
      <c r="O5" s="1" t="s">
        <v>76</v>
      </c>
      <c r="P5" s="1" t="s">
        <v>77</v>
      </c>
      <c r="Q5" s="1" t="s">
        <v>78</v>
      </c>
      <c r="R5" s="1" t="s">
        <v>79</v>
      </c>
      <c r="S5" s="1" t="s">
        <v>73</v>
      </c>
      <c r="T5" s="1" t="s">
        <v>74</v>
      </c>
      <c r="U5" s="1" t="s">
        <v>75</v>
      </c>
      <c r="V5" s="1" t="s">
        <v>76</v>
      </c>
      <c r="W5" s="1" t="s">
        <v>77</v>
      </c>
      <c r="X5" s="1" t="s">
        <v>78</v>
      </c>
      <c r="Y5" s="1" t="s">
        <v>79</v>
      </c>
      <c r="Z5" s="1" t="s">
        <v>73</v>
      </c>
      <c r="AA5" s="1" t="s">
        <v>74</v>
      </c>
      <c r="AB5" s="1" t="s">
        <v>75</v>
      </c>
      <c r="AC5" s="1" t="s">
        <v>76</v>
      </c>
      <c r="AD5" s="1" t="s">
        <v>77</v>
      </c>
      <c r="AE5" s="1" t="s">
        <v>78</v>
      </c>
      <c r="AF5" s="1" t="s">
        <v>79</v>
      </c>
      <c r="AG5" s="1" t="s">
        <v>73</v>
      </c>
      <c r="AH5" s="8"/>
    </row>
    <row r="6" spans="2: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2:34" ht="30" customHeight="1" x14ac:dyDescent="0.2">
      <c r="B7" t="str">
        <f>Werknemersnamen!B4</f>
        <v>Biragoye Isaac</v>
      </c>
      <c r="C7" s="25" t="s">
        <v>63</v>
      </c>
      <c r="D7" s="25" t="s">
        <v>63</v>
      </c>
      <c r="E7" s="25" t="s">
        <v>63</v>
      </c>
      <c r="F7" s="25" t="s">
        <v>63</v>
      </c>
      <c r="G7" s="26" t="s">
        <v>72</v>
      </c>
      <c r="H7" s="25" t="s">
        <v>63</v>
      </c>
      <c r="I7" s="25" t="s">
        <v>63</v>
      </c>
      <c r="J7" s="25" t="s">
        <v>63</v>
      </c>
      <c r="K7" s="25" t="s">
        <v>63</v>
      </c>
      <c r="L7" s="25" t="s">
        <v>63</v>
      </c>
      <c r="M7" s="25" t="s">
        <v>63</v>
      </c>
      <c r="N7" s="26" t="s">
        <v>72</v>
      </c>
      <c r="O7" s="25" t="s">
        <v>63</v>
      </c>
      <c r="P7" s="25" t="s">
        <v>63</v>
      </c>
      <c r="Q7" s="25" t="s">
        <v>63</v>
      </c>
      <c r="R7" s="25" t="s">
        <v>63</v>
      </c>
      <c r="S7" s="25" t="s">
        <v>63</v>
      </c>
      <c r="T7" s="25" t="s">
        <v>63</v>
      </c>
      <c r="U7" s="26" t="s">
        <v>72</v>
      </c>
      <c r="V7" s="25" t="s">
        <v>63</v>
      </c>
      <c r="W7" s="25" t="s">
        <v>63</v>
      </c>
      <c r="X7" s="25" t="s">
        <v>63</v>
      </c>
      <c r="Y7" s="25" t="s">
        <v>63</v>
      </c>
      <c r="Z7" s="25" t="s">
        <v>63</v>
      </c>
      <c r="AA7" s="25" t="s">
        <v>63</v>
      </c>
      <c r="AB7" s="26" t="s">
        <v>72</v>
      </c>
      <c r="AC7" s="25" t="s">
        <v>63</v>
      </c>
      <c r="AD7" s="25" t="s">
        <v>63</v>
      </c>
      <c r="AE7" s="25" t="s">
        <v>63</v>
      </c>
      <c r="AF7" s="25" t="s">
        <v>63</v>
      </c>
      <c r="AG7" s="25" t="s">
        <v>63</v>
      </c>
      <c r="AH7" s="7">
        <f t="shared" ref="AH7:AH18" ca="1" si="0">SUM($C$18:$AH$18)</f>
        <v>0</v>
      </c>
    </row>
    <row r="8" spans="2:34" ht="30" customHeight="1" x14ac:dyDescent="0.2">
      <c r="B8" t="str">
        <f>Werknemersnamen!B5</f>
        <v>Cinar Rafet</v>
      </c>
      <c r="C8" s="25" t="s">
        <v>63</v>
      </c>
      <c r="D8" s="25" t="s">
        <v>63</v>
      </c>
      <c r="E8" s="25" t="s">
        <v>63</v>
      </c>
      <c r="F8" s="25" t="s">
        <v>63</v>
      </c>
      <c r="G8" s="26" t="s">
        <v>72</v>
      </c>
      <c r="H8" s="25" t="s">
        <v>63</v>
      </c>
      <c r="I8" s="25" t="s">
        <v>63</v>
      </c>
      <c r="J8" s="25" t="s">
        <v>63</v>
      </c>
      <c r="K8" s="25" t="s">
        <v>63</v>
      </c>
      <c r="L8" s="25" t="s">
        <v>63</v>
      </c>
      <c r="M8" s="25" t="s">
        <v>63</v>
      </c>
      <c r="N8" s="26" t="s">
        <v>72</v>
      </c>
      <c r="O8" s="25" t="s">
        <v>63</v>
      </c>
      <c r="P8" s="25" t="s">
        <v>63</v>
      </c>
      <c r="Q8" s="25" t="s">
        <v>63</v>
      </c>
      <c r="R8" s="25" t="s">
        <v>63</v>
      </c>
      <c r="S8" s="25" t="s">
        <v>63</v>
      </c>
      <c r="T8" s="25" t="s">
        <v>63</v>
      </c>
      <c r="U8" s="26" t="s">
        <v>72</v>
      </c>
      <c r="V8" s="25" t="s">
        <v>63</v>
      </c>
      <c r="W8" s="25" t="s">
        <v>63</v>
      </c>
      <c r="X8" s="25" t="s">
        <v>63</v>
      </c>
      <c r="Y8" s="25" t="s">
        <v>63</v>
      </c>
      <c r="Z8" s="25" t="s">
        <v>63</v>
      </c>
      <c r="AA8" s="25" t="s">
        <v>63</v>
      </c>
      <c r="AB8" s="26" t="s">
        <v>72</v>
      </c>
      <c r="AC8" s="25" t="s">
        <v>63</v>
      </c>
      <c r="AD8" s="25" t="s">
        <v>63</v>
      </c>
      <c r="AE8" s="25" t="s">
        <v>63</v>
      </c>
      <c r="AF8" s="25" t="s">
        <v>63</v>
      </c>
      <c r="AG8" s="25" t="s">
        <v>63</v>
      </c>
      <c r="AH8" s="7">
        <f t="shared" ca="1" si="0"/>
        <v>0</v>
      </c>
    </row>
    <row r="9" spans="2:34" ht="30" customHeight="1" x14ac:dyDescent="0.2">
      <c r="B9" t="str">
        <f>Werknemersnamen!B6</f>
        <v>Cygora Lukasz Jan</v>
      </c>
      <c r="C9" s="25" t="s">
        <v>63</v>
      </c>
      <c r="D9" s="25" t="s">
        <v>63</v>
      </c>
      <c r="E9" s="25" t="s">
        <v>63</v>
      </c>
      <c r="F9" s="25" t="s">
        <v>63</v>
      </c>
      <c r="G9" s="26" t="s">
        <v>72</v>
      </c>
      <c r="H9" s="25" t="s">
        <v>63</v>
      </c>
      <c r="I9" s="25" t="s">
        <v>63</v>
      </c>
      <c r="J9" s="25" t="s">
        <v>63</v>
      </c>
      <c r="K9" s="25" t="s">
        <v>63</v>
      </c>
      <c r="L9" s="25" t="s">
        <v>63</v>
      </c>
      <c r="M9" s="25" t="s">
        <v>63</v>
      </c>
      <c r="N9" s="26" t="s">
        <v>72</v>
      </c>
      <c r="O9" s="25" t="s">
        <v>63</v>
      </c>
      <c r="P9" s="25" t="s">
        <v>63</v>
      </c>
      <c r="Q9" s="25" t="s">
        <v>63</v>
      </c>
      <c r="R9" s="25" t="s">
        <v>63</v>
      </c>
      <c r="S9" s="25" t="s">
        <v>63</v>
      </c>
      <c r="T9" s="25" t="s">
        <v>63</v>
      </c>
      <c r="U9" s="26" t="s">
        <v>72</v>
      </c>
      <c r="V9" s="25" t="s">
        <v>63</v>
      </c>
      <c r="W9" s="25" t="s">
        <v>63</v>
      </c>
      <c r="X9" s="25" t="s">
        <v>63</v>
      </c>
      <c r="Y9" s="25" t="s">
        <v>63</v>
      </c>
      <c r="Z9" s="25" t="s">
        <v>63</v>
      </c>
      <c r="AA9" s="25" t="s">
        <v>63</v>
      </c>
      <c r="AB9" s="26" t="s">
        <v>72</v>
      </c>
      <c r="AC9" s="25" t="s">
        <v>63</v>
      </c>
      <c r="AD9" s="25" t="s">
        <v>63</v>
      </c>
      <c r="AE9" s="25" t="s">
        <v>63</v>
      </c>
      <c r="AF9" s="25" t="s">
        <v>63</v>
      </c>
      <c r="AG9" s="25" t="s">
        <v>63</v>
      </c>
      <c r="AH9" s="7">
        <f t="shared" ca="1" si="0"/>
        <v>0</v>
      </c>
    </row>
    <row r="10" spans="2:34" ht="30" customHeight="1" x14ac:dyDescent="0.2">
      <c r="B10" t="str">
        <f>Werknemersnamen!B7</f>
        <v>El Karmoudi Taufik</v>
      </c>
      <c r="C10" s="25" t="s">
        <v>63</v>
      </c>
      <c r="D10" s="25" t="s">
        <v>63</v>
      </c>
      <c r="E10" s="25" t="s">
        <v>63</v>
      </c>
      <c r="F10" s="25" t="s">
        <v>63</v>
      </c>
      <c r="G10" s="26" t="s">
        <v>72</v>
      </c>
      <c r="H10" s="25" t="s">
        <v>63</v>
      </c>
      <c r="I10" s="25" t="s">
        <v>63</v>
      </c>
      <c r="J10" s="25" t="s">
        <v>63</v>
      </c>
      <c r="K10" s="25" t="s">
        <v>63</v>
      </c>
      <c r="L10" s="25" t="s">
        <v>63</v>
      </c>
      <c r="M10" s="25" t="s">
        <v>63</v>
      </c>
      <c r="N10" s="26" t="s">
        <v>72</v>
      </c>
      <c r="O10" s="25" t="s">
        <v>63</v>
      </c>
      <c r="P10" s="25" t="s">
        <v>63</v>
      </c>
      <c r="Q10" s="25" t="s">
        <v>63</v>
      </c>
      <c r="R10" s="25" t="s">
        <v>63</v>
      </c>
      <c r="S10" s="25" t="s">
        <v>63</v>
      </c>
      <c r="T10" s="25" t="s">
        <v>63</v>
      </c>
      <c r="U10" s="26" t="s">
        <v>72</v>
      </c>
      <c r="V10" s="25" t="s">
        <v>63</v>
      </c>
      <c r="W10" s="25" t="s">
        <v>63</v>
      </c>
      <c r="X10" s="25" t="s">
        <v>63</v>
      </c>
      <c r="Y10" s="25" t="s">
        <v>63</v>
      </c>
      <c r="Z10" s="25" t="s">
        <v>63</v>
      </c>
      <c r="AA10" s="25" t="s">
        <v>63</v>
      </c>
      <c r="AB10" s="26" t="s">
        <v>72</v>
      </c>
      <c r="AC10" s="25" t="s">
        <v>63</v>
      </c>
      <c r="AD10" s="25" t="s">
        <v>63</v>
      </c>
      <c r="AE10" s="25" t="s">
        <v>63</v>
      </c>
      <c r="AF10" s="25" t="s">
        <v>63</v>
      </c>
      <c r="AG10" s="25" t="s">
        <v>63</v>
      </c>
      <c r="AH10" s="7">
        <f t="shared" ca="1" si="0"/>
        <v>0</v>
      </c>
    </row>
    <row r="11" spans="2:34" ht="30" customHeight="1" x14ac:dyDescent="0.2">
      <c r="B11" t="str">
        <f>Werknemersnamen!B8</f>
        <v>El Maazouzi Abdelilah</v>
      </c>
      <c r="C11" s="25" t="s">
        <v>63</v>
      </c>
      <c r="D11" s="25" t="s">
        <v>63</v>
      </c>
      <c r="E11" s="25" t="s">
        <v>63</v>
      </c>
      <c r="F11" s="25" t="s">
        <v>63</v>
      </c>
      <c r="G11" s="26" t="s">
        <v>72</v>
      </c>
      <c r="H11" s="25" t="s">
        <v>63</v>
      </c>
      <c r="I11" s="25" t="s">
        <v>63</v>
      </c>
      <c r="J11" s="25" t="s">
        <v>63</v>
      </c>
      <c r="K11" s="25" t="s">
        <v>63</v>
      </c>
      <c r="L11" s="25" t="s">
        <v>63</v>
      </c>
      <c r="M11" s="25" t="s">
        <v>63</v>
      </c>
      <c r="N11" s="26" t="s">
        <v>72</v>
      </c>
      <c r="O11" s="25" t="s">
        <v>63</v>
      </c>
      <c r="P11" s="25" t="s">
        <v>63</v>
      </c>
      <c r="Q11" s="25" t="s">
        <v>63</v>
      </c>
      <c r="R11" s="25" t="s">
        <v>63</v>
      </c>
      <c r="S11" s="25" t="s">
        <v>63</v>
      </c>
      <c r="T11" s="25" t="s">
        <v>63</v>
      </c>
      <c r="U11" s="26" t="s">
        <v>72</v>
      </c>
      <c r="V11" s="25" t="s">
        <v>63</v>
      </c>
      <c r="W11" s="25" t="s">
        <v>63</v>
      </c>
      <c r="X11" s="25" t="s">
        <v>63</v>
      </c>
      <c r="Y11" s="25" t="s">
        <v>63</v>
      </c>
      <c r="Z11" s="25" t="s">
        <v>63</v>
      </c>
      <c r="AA11" s="25" t="s">
        <v>63</v>
      </c>
      <c r="AB11" s="26" t="s">
        <v>72</v>
      </c>
      <c r="AC11" s="25" t="s">
        <v>63</v>
      </c>
      <c r="AD11" s="25" t="s">
        <v>63</v>
      </c>
      <c r="AE11" s="25" t="s">
        <v>63</v>
      </c>
      <c r="AF11" s="25" t="s">
        <v>63</v>
      </c>
      <c r="AG11" s="25" t="s">
        <v>63</v>
      </c>
      <c r="AH11" s="7">
        <f t="shared" ca="1" si="0"/>
        <v>0</v>
      </c>
    </row>
    <row r="12" spans="2:34" ht="30" customHeight="1" x14ac:dyDescent="0.2">
      <c r="B12" t="str">
        <f>Werknemersnamen!B9</f>
        <v>Gultekin Muhammed A</v>
      </c>
      <c r="C12" s="25" t="s">
        <v>63</v>
      </c>
      <c r="D12" s="25" t="s">
        <v>63</v>
      </c>
      <c r="E12" s="25" t="s">
        <v>63</v>
      </c>
      <c r="F12" s="25" t="s">
        <v>63</v>
      </c>
      <c r="G12" s="26" t="s">
        <v>72</v>
      </c>
      <c r="H12" s="25" t="s">
        <v>63</v>
      </c>
      <c r="I12" s="25" t="s">
        <v>63</v>
      </c>
      <c r="J12" s="25" t="s">
        <v>63</v>
      </c>
      <c r="K12" s="25" t="s">
        <v>63</v>
      </c>
      <c r="L12" s="25" t="s">
        <v>63</v>
      </c>
      <c r="M12" s="25" t="s">
        <v>63</v>
      </c>
      <c r="N12" s="26" t="s">
        <v>72</v>
      </c>
      <c r="O12" s="25" t="s">
        <v>63</v>
      </c>
      <c r="P12" s="25" t="s">
        <v>63</v>
      </c>
      <c r="Q12" s="25" t="s">
        <v>63</v>
      </c>
      <c r="R12" s="25" t="s">
        <v>63</v>
      </c>
      <c r="S12" s="25" t="s">
        <v>63</v>
      </c>
      <c r="T12" s="25" t="s">
        <v>63</v>
      </c>
      <c r="U12" s="26" t="s">
        <v>72</v>
      </c>
      <c r="V12" s="25" t="s">
        <v>63</v>
      </c>
      <c r="W12" s="25" t="s">
        <v>63</v>
      </c>
      <c r="X12" s="25" t="s">
        <v>63</v>
      </c>
      <c r="Y12" s="25" t="s">
        <v>63</v>
      </c>
      <c r="Z12" s="25" t="s">
        <v>63</v>
      </c>
      <c r="AA12" s="25" t="s">
        <v>63</v>
      </c>
      <c r="AB12" s="26" t="s">
        <v>72</v>
      </c>
      <c r="AC12" s="25" t="s">
        <v>63</v>
      </c>
      <c r="AD12" s="25" t="s">
        <v>63</v>
      </c>
      <c r="AE12" s="25" t="s">
        <v>63</v>
      </c>
      <c r="AF12" s="25" t="s">
        <v>63</v>
      </c>
      <c r="AG12" s="25" t="s">
        <v>63</v>
      </c>
      <c r="AH12" s="7">
        <f t="shared" ca="1" si="0"/>
        <v>0</v>
      </c>
    </row>
    <row r="13" spans="2:34" ht="30" customHeight="1" x14ac:dyDescent="0.2">
      <c r="B13" t="str">
        <f>Werknemersnamen!B10</f>
        <v>Gultekin Muhammed E</v>
      </c>
      <c r="C13" s="25" t="s">
        <v>63</v>
      </c>
      <c r="D13" s="25" t="s">
        <v>63</v>
      </c>
      <c r="E13" s="25" t="s">
        <v>63</v>
      </c>
      <c r="F13" s="25" t="s">
        <v>63</v>
      </c>
      <c r="G13" s="26" t="s">
        <v>72</v>
      </c>
      <c r="H13" s="25" t="s">
        <v>63</v>
      </c>
      <c r="I13" s="25" t="s">
        <v>63</v>
      </c>
      <c r="J13" s="25" t="s">
        <v>63</v>
      </c>
      <c r="K13" s="25" t="s">
        <v>63</v>
      </c>
      <c r="L13" s="25" t="s">
        <v>63</v>
      </c>
      <c r="M13" s="25" t="s">
        <v>63</v>
      </c>
      <c r="N13" s="26" t="s">
        <v>72</v>
      </c>
      <c r="O13" s="25" t="s">
        <v>63</v>
      </c>
      <c r="P13" s="25" t="s">
        <v>63</v>
      </c>
      <c r="Q13" s="25" t="s">
        <v>63</v>
      </c>
      <c r="R13" s="25" t="s">
        <v>63</v>
      </c>
      <c r="S13" s="25" t="s">
        <v>63</v>
      </c>
      <c r="T13" s="25" t="s">
        <v>63</v>
      </c>
      <c r="U13" s="26" t="s">
        <v>72</v>
      </c>
      <c r="V13" s="25" t="s">
        <v>63</v>
      </c>
      <c r="W13" s="25" t="s">
        <v>63</v>
      </c>
      <c r="X13" s="25" t="s">
        <v>63</v>
      </c>
      <c r="Y13" s="25" t="s">
        <v>63</v>
      </c>
      <c r="Z13" s="25" t="s">
        <v>63</v>
      </c>
      <c r="AA13" s="25" t="s">
        <v>63</v>
      </c>
      <c r="AB13" s="26" t="s">
        <v>72</v>
      </c>
      <c r="AC13" s="25" t="s">
        <v>63</v>
      </c>
      <c r="AD13" s="25" t="s">
        <v>63</v>
      </c>
      <c r="AE13" s="25" t="s">
        <v>63</v>
      </c>
      <c r="AF13" s="25" t="s">
        <v>63</v>
      </c>
      <c r="AG13" s="25" t="s">
        <v>63</v>
      </c>
      <c r="AH13" s="7">
        <f t="shared" ca="1" si="0"/>
        <v>0</v>
      </c>
    </row>
    <row r="14" spans="2:34" ht="30" customHeight="1" x14ac:dyDescent="0.2">
      <c r="B14" t="str">
        <f>Werknemersnamen!B11</f>
        <v>Irakoze Patrick</v>
      </c>
      <c r="C14" s="25" t="s">
        <v>63</v>
      </c>
      <c r="D14" s="25" t="s">
        <v>63</v>
      </c>
      <c r="E14" s="25" t="s">
        <v>63</v>
      </c>
      <c r="F14" s="25" t="s">
        <v>63</v>
      </c>
      <c r="G14" s="26" t="s">
        <v>72</v>
      </c>
      <c r="H14" s="25" t="s">
        <v>63</v>
      </c>
      <c r="I14" s="25" t="s">
        <v>63</v>
      </c>
      <c r="J14" s="25" t="s">
        <v>63</v>
      </c>
      <c r="K14" s="25" t="s">
        <v>63</v>
      </c>
      <c r="L14" s="25" t="s">
        <v>63</v>
      </c>
      <c r="M14" s="25" t="s">
        <v>63</v>
      </c>
      <c r="N14" s="26" t="s">
        <v>72</v>
      </c>
      <c r="O14" s="25" t="s">
        <v>63</v>
      </c>
      <c r="P14" s="25" t="s">
        <v>63</v>
      </c>
      <c r="Q14" s="25" t="s">
        <v>63</v>
      </c>
      <c r="R14" s="25" t="s">
        <v>63</v>
      </c>
      <c r="S14" s="25" t="s">
        <v>63</v>
      </c>
      <c r="T14" s="25" t="s">
        <v>63</v>
      </c>
      <c r="U14" s="26" t="s">
        <v>72</v>
      </c>
      <c r="V14" s="25" t="s">
        <v>63</v>
      </c>
      <c r="W14" s="25" t="s">
        <v>63</v>
      </c>
      <c r="X14" s="25" t="s">
        <v>63</v>
      </c>
      <c r="Y14" s="25" t="s">
        <v>63</v>
      </c>
      <c r="Z14" s="25" t="s">
        <v>63</v>
      </c>
      <c r="AA14" s="25" t="s">
        <v>63</v>
      </c>
      <c r="AB14" s="26" t="s">
        <v>72</v>
      </c>
      <c r="AC14" s="25" t="s">
        <v>63</v>
      </c>
      <c r="AD14" s="25" t="s">
        <v>63</v>
      </c>
      <c r="AE14" s="25" t="s">
        <v>63</v>
      </c>
      <c r="AF14" s="25" t="s">
        <v>63</v>
      </c>
      <c r="AG14" s="25" t="s">
        <v>63</v>
      </c>
      <c r="AH14" s="7">
        <f t="shared" ca="1" si="0"/>
        <v>0</v>
      </c>
    </row>
    <row r="15" spans="2:34" ht="30" customHeight="1" x14ac:dyDescent="0.2">
      <c r="B15" t="str">
        <f>Werknemersnamen!B12</f>
        <v>Kacar Abdullah</v>
      </c>
      <c r="C15" s="25" t="s">
        <v>63</v>
      </c>
      <c r="D15" s="25" t="s">
        <v>63</v>
      </c>
      <c r="E15" s="25" t="s">
        <v>63</v>
      </c>
      <c r="F15" s="25" t="s">
        <v>63</v>
      </c>
      <c r="G15" s="26" t="s">
        <v>72</v>
      </c>
      <c r="H15" s="25" t="s">
        <v>63</v>
      </c>
      <c r="I15" s="25" t="s">
        <v>63</v>
      </c>
      <c r="J15" s="25" t="s">
        <v>63</v>
      </c>
      <c r="K15" s="25" t="s">
        <v>63</v>
      </c>
      <c r="L15" s="25" t="s">
        <v>63</v>
      </c>
      <c r="M15" s="25" t="s">
        <v>63</v>
      </c>
      <c r="N15" s="26" t="s">
        <v>72</v>
      </c>
      <c r="O15" s="25" t="s">
        <v>63</v>
      </c>
      <c r="P15" s="25" t="s">
        <v>63</v>
      </c>
      <c r="Q15" s="25" t="s">
        <v>63</v>
      </c>
      <c r="R15" s="25" t="s">
        <v>63</v>
      </c>
      <c r="S15" s="25" t="s">
        <v>63</v>
      </c>
      <c r="T15" s="25" t="s">
        <v>63</v>
      </c>
      <c r="U15" s="26" t="s">
        <v>72</v>
      </c>
      <c r="V15" s="25" t="s">
        <v>63</v>
      </c>
      <c r="W15" s="25" t="s">
        <v>63</v>
      </c>
      <c r="X15" s="25" t="s">
        <v>63</v>
      </c>
      <c r="Y15" s="25" t="s">
        <v>63</v>
      </c>
      <c r="Z15" s="25" t="s">
        <v>63</v>
      </c>
      <c r="AA15" s="25" t="s">
        <v>63</v>
      </c>
      <c r="AB15" s="26" t="s">
        <v>72</v>
      </c>
      <c r="AC15" s="25" t="s">
        <v>63</v>
      </c>
      <c r="AD15" s="25" t="s">
        <v>63</v>
      </c>
      <c r="AE15" s="25" t="s">
        <v>63</v>
      </c>
      <c r="AF15" s="25" t="s">
        <v>63</v>
      </c>
      <c r="AG15" s="25" t="s">
        <v>63</v>
      </c>
      <c r="AH15" s="7">
        <f t="shared" ca="1" si="0"/>
        <v>0</v>
      </c>
    </row>
    <row r="16" spans="2:34" ht="30" customHeight="1" x14ac:dyDescent="0.2">
      <c r="B16" t="str">
        <f>Werknemersnamen!B13</f>
        <v>Kefes Levent</v>
      </c>
      <c r="C16" s="25" t="s">
        <v>63</v>
      </c>
      <c r="D16" s="25" t="s">
        <v>63</v>
      </c>
      <c r="E16" s="25" t="s">
        <v>63</v>
      </c>
      <c r="F16" s="25" t="s">
        <v>63</v>
      </c>
      <c r="G16" s="26" t="s">
        <v>72</v>
      </c>
      <c r="H16" s="25" t="s">
        <v>63</v>
      </c>
      <c r="I16" s="25" t="s">
        <v>63</v>
      </c>
      <c r="J16" s="25" t="s">
        <v>63</v>
      </c>
      <c r="K16" s="25" t="s">
        <v>63</v>
      </c>
      <c r="L16" s="25" t="s">
        <v>63</v>
      </c>
      <c r="M16" s="25" t="s">
        <v>63</v>
      </c>
      <c r="N16" s="26" t="s">
        <v>72</v>
      </c>
      <c r="O16" s="25" t="s">
        <v>63</v>
      </c>
      <c r="P16" s="25" t="s">
        <v>63</v>
      </c>
      <c r="Q16" s="25" t="s">
        <v>63</v>
      </c>
      <c r="R16" s="25" t="s">
        <v>63</v>
      </c>
      <c r="S16" s="25" t="s">
        <v>63</v>
      </c>
      <c r="T16" s="25" t="s">
        <v>63</v>
      </c>
      <c r="U16" s="26" t="s">
        <v>72</v>
      </c>
      <c r="V16" s="25" t="s">
        <v>63</v>
      </c>
      <c r="W16" s="25" t="s">
        <v>63</v>
      </c>
      <c r="X16" s="25" t="s">
        <v>63</v>
      </c>
      <c r="Y16" s="25" t="s">
        <v>63</v>
      </c>
      <c r="Z16" s="25" t="s">
        <v>63</v>
      </c>
      <c r="AA16" s="25" t="s">
        <v>63</v>
      </c>
      <c r="AB16" s="26" t="s">
        <v>72</v>
      </c>
      <c r="AC16" s="25" t="s">
        <v>63</v>
      </c>
      <c r="AD16" s="25" t="s">
        <v>63</v>
      </c>
      <c r="AE16" s="25" t="s">
        <v>63</v>
      </c>
      <c r="AF16" s="25" t="s">
        <v>63</v>
      </c>
      <c r="AG16" s="25" t="s">
        <v>63</v>
      </c>
      <c r="AH16" s="7">
        <f t="shared" ca="1" si="0"/>
        <v>0</v>
      </c>
    </row>
    <row r="17" spans="2:34" ht="30" customHeight="1" x14ac:dyDescent="0.2">
      <c r="B17" t="str">
        <f>Werknemersnamen!B14</f>
        <v>Moualdine Ali</v>
      </c>
      <c r="C17" s="25" t="s">
        <v>63</v>
      </c>
      <c r="D17" s="25" t="s">
        <v>63</v>
      </c>
      <c r="E17" s="25" t="s">
        <v>63</v>
      </c>
      <c r="F17" s="25" t="s">
        <v>63</v>
      </c>
      <c r="G17" s="26" t="s">
        <v>72</v>
      </c>
      <c r="H17" s="25" t="s">
        <v>63</v>
      </c>
      <c r="I17" s="25" t="s">
        <v>63</v>
      </c>
      <c r="J17" s="25" t="s">
        <v>63</v>
      </c>
      <c r="K17" s="25" t="s">
        <v>63</v>
      </c>
      <c r="L17" s="25" t="s">
        <v>63</v>
      </c>
      <c r="M17" s="25" t="s">
        <v>63</v>
      </c>
      <c r="N17" s="26" t="s">
        <v>72</v>
      </c>
      <c r="O17" s="25" t="s">
        <v>63</v>
      </c>
      <c r="P17" s="25" t="s">
        <v>63</v>
      </c>
      <c r="Q17" s="25" t="s">
        <v>63</v>
      </c>
      <c r="R17" s="25" t="s">
        <v>63</v>
      </c>
      <c r="S17" s="25" t="s">
        <v>63</v>
      </c>
      <c r="T17" s="25" t="s">
        <v>63</v>
      </c>
      <c r="U17" s="26" t="s">
        <v>72</v>
      </c>
      <c r="V17" s="25" t="s">
        <v>63</v>
      </c>
      <c r="W17" s="25" t="s">
        <v>63</v>
      </c>
      <c r="X17" s="25" t="s">
        <v>63</v>
      </c>
      <c r="Y17" s="25" t="s">
        <v>63</v>
      </c>
      <c r="Z17" s="25" t="s">
        <v>63</v>
      </c>
      <c r="AA17" s="25" t="s">
        <v>63</v>
      </c>
      <c r="AB17" s="26" t="s">
        <v>72</v>
      </c>
      <c r="AC17" s="25" t="s">
        <v>63</v>
      </c>
      <c r="AD17" s="25" t="s">
        <v>63</v>
      </c>
      <c r="AE17" s="25" t="s">
        <v>63</v>
      </c>
      <c r="AF17" s="25" t="s">
        <v>63</v>
      </c>
      <c r="AG17" s="25" t="s">
        <v>63</v>
      </c>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B19" s="16"/>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2:34" ht="30" customHeight="1" x14ac:dyDescent="0.2">
      <c r="B20" t="s">
        <v>90</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7:AG18">
    <cfRule type="expression" priority="1" stopIfTrue="1">
      <formula>C7=""</formula>
    </cfRule>
    <cfRule type="expression" dxfId="222" priority="2" stopIfTrue="1">
      <formula>C7=KeyCustom2</formula>
    </cfRule>
    <cfRule type="expression" dxfId="221" priority="3" stopIfTrue="1">
      <formula>C7=KeyCustom1</formula>
    </cfRule>
    <cfRule type="expression" dxfId="220" priority="4" stopIfTrue="1">
      <formula>C7=KeySick</formula>
    </cfRule>
    <cfRule type="expression" dxfId="219" priority="5" stopIfTrue="1">
      <formula>C7=KeyPersonal</formula>
    </cfRule>
    <cfRule type="expression" dxfId="218"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{8663C4A2-6D09-F848-AB94-799D4242EC11}</x14:id>
        </ext>
      </extLst>
    </cfRule>
  </conditionalFormatting>
  <dataValidations count="14">
    <dataValidation allowBlank="1" showInputMessage="1" showErrorMessage="1" prompt="Houd de afwezigheid in oktober in dit werkblad bij" sqref="A1" xr:uid="{00000000-0002-0000-0900-000003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112329E7-C001-204A-83C0-3E148A2E5453}"/>
    <dataValidation allowBlank="1" showInputMessage="1" showErrorMessage="1" prompt="De titel wordt automatisch bijgewerkt in deze cel. Als u de titel wilt wijzigen, werk B1 in het januari-werkblad bij" sqref="B1" xr:uid="{00000000-0002-0000-0900-000005000000}"/>
    <dataValidation allowBlank="1" showInputMessage="1" showErrorMessage="1" prompt="De letter &quot;V&quot; geeft afwezigheid vanwege vakantie aan" sqref="C2" xr:uid="{00000000-0002-0000-0900-000006000000}"/>
    <dataValidation allowBlank="1" showInputMessage="1" showErrorMessage="1" prompt="De letter &quot;P&quot; geeft afwezigheid vanwege persoonlijke redenen aan" sqref="G2" xr:uid="{00000000-0002-0000-0900-000007000000}"/>
    <dataValidation allowBlank="1" showInputMessage="1" showErrorMessage="1" prompt="De letter &quot;Z&quot; geeft afwezigheid vanwege ziekte aan" sqref="K2" xr:uid="{00000000-0002-0000-0900-000008000000}"/>
    <dataValidation allowBlank="1" showInputMessage="1" showErrorMessage="1" prompt="Voer een letter in en pas rechts het label aan om een ander sleutelitem toe te voegen" sqref="N2 R2" xr:uid="{00000000-0002-0000-0900-000009000000}"/>
    <dataValidation allowBlank="1" showInputMessage="1" showErrorMessage="1" prompt="Voer links een label in om de aangepaste sleutel te beschrijven" sqref="O2:Q2 S2:U2" xr:uid="{00000000-0002-0000-0900-00000A000000}"/>
    <dataValidation allowBlank="1" showInputMessage="1" showErrorMessage="1" prompt="Deze rij definieert de sleutels die worden gebruikt in de tabel: cel C2 is Vakantie, G2 is Persoonlijk en K2 is Ziekteverlof. De cellen N2 en R2 kunnen worden aangepast" sqref="B2" xr:uid="{00000000-0002-0000-0900-00000B000000}"/>
    <dataValidation allowBlank="1" showInputMessage="1" showErrorMessage="1" prompt="De dagen van de maand in deze rij worden automatisch gegenereerd. Voer voor elke dag van de maand in elke kolom het verzuim en het type verzuim van een werknemer in. Leeg betekent geen verzuim" sqref="C6" xr:uid="{C1C6B3B9-0CB2-C941-98EB-0612BCFB0FBD}"/>
    <dataValidation allowBlank="1" showInputMessage="1" showErrorMessage="1" prompt="Maand van dit verzuimschema. Werk het jaar bij in cel AH4. Houd de totalen bij per maand in de laatste cel van de tabel. Namen van werknemers invoeren in tabelkolom B" sqref="B4" xr:uid="{FBC65F7A-24D8-1445-9E82-5432B4AD5B11}"/>
    <dataValidation allowBlank="1" showInputMessage="1" showErrorMessage="1" prompt="Berekent automatisch het totaal aantal dagen dat een werknemer in deze maand niet afwezig was" sqref="AH6" xr:uid="{8CC489B4-0889-FD44-8263-6DCB244E9690}"/>
    <dataValidation allowBlank="1" showInputMessage="1" showErrorMessage="1" prompt="Weekdagen in deze rij worden automatisch bijgewerkt voor de maand, overeenkomstig het jaar dat is ingevoerd in AH4. Elke dag van de maand is een kolom om het verzuim en type verzuim van een werknemer te noteren" sqref="C5" xr:uid="{46634C57-40C0-6D4F-A6E7-0CC92AEAD7DC}"/>
    <dataValidation allowBlank="1" showInputMessage="1" showErrorMessage="1" prompt="Voer het jaar in deze cel in" sqref="AH4" xr:uid="{BB05EC06-5EAC-E342-B7DC-D304A8211342}"/>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8663C4A2-6D09-F848-AB94-799D4242EC11}">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1">
    <tabColor theme="2" tint="-0.249977111117893"/>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51</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74</v>
      </c>
      <c r="D5" s="1" t="s">
        <v>75</v>
      </c>
      <c r="E5" s="1" t="s">
        <v>76</v>
      </c>
      <c r="F5" s="1" t="s">
        <v>77</v>
      </c>
      <c r="G5" s="1" t="s">
        <v>78</v>
      </c>
      <c r="H5" s="1" t="s">
        <v>79</v>
      </c>
      <c r="I5" s="1" t="s">
        <v>73</v>
      </c>
      <c r="J5" s="1" t="s">
        <v>74</v>
      </c>
      <c r="K5" s="1" t="s">
        <v>75</v>
      </c>
      <c r="L5" s="1" t="s">
        <v>76</v>
      </c>
      <c r="M5" s="1" t="s">
        <v>77</v>
      </c>
      <c r="N5" s="1" t="s">
        <v>78</v>
      </c>
      <c r="O5" s="1" t="s">
        <v>79</v>
      </c>
      <c r="P5" s="1" t="s">
        <v>73</v>
      </c>
      <c r="Q5" s="1" t="s">
        <v>74</v>
      </c>
      <c r="R5" s="1" t="s">
        <v>75</v>
      </c>
      <c r="S5" s="1" t="s">
        <v>76</v>
      </c>
      <c r="T5" s="1" t="s">
        <v>77</v>
      </c>
      <c r="U5" s="1" t="s">
        <v>78</v>
      </c>
      <c r="V5" s="1" t="s">
        <v>79</v>
      </c>
      <c r="W5" s="1" t="s">
        <v>73</v>
      </c>
      <c r="X5" s="1" t="s">
        <v>74</v>
      </c>
      <c r="Y5" s="1" t="s">
        <v>75</v>
      </c>
      <c r="Z5" s="1" t="s">
        <v>76</v>
      </c>
      <c r="AA5" s="1" t="s">
        <v>77</v>
      </c>
      <c r="AB5" s="1" t="s">
        <v>78</v>
      </c>
      <c r="AC5" s="1" t="s">
        <v>79</v>
      </c>
      <c r="AD5" s="1" t="s">
        <v>73</v>
      </c>
      <c r="AE5" s="1" t="s">
        <v>74</v>
      </c>
      <c r="AF5" s="1" t="s">
        <v>75</v>
      </c>
      <c r="AG5" s="1"/>
      <c r="AH5" s="8"/>
    </row>
    <row r="6" spans="2: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2:34" ht="30" customHeight="1" x14ac:dyDescent="0.2">
      <c r="B7" t="str">
        <f>Werknemersnamen!B4</f>
        <v>Biragoye Isaac</v>
      </c>
      <c r="C7" s="25" t="s">
        <v>63</v>
      </c>
      <c r="D7" s="25" t="s">
        <v>72</v>
      </c>
      <c r="E7" s="25" t="s">
        <v>63</v>
      </c>
      <c r="F7" s="25" t="s">
        <v>63</v>
      </c>
      <c r="G7" s="25" t="s">
        <v>63</v>
      </c>
      <c r="H7" s="25" t="s">
        <v>63</v>
      </c>
      <c r="I7" s="25" t="s">
        <v>63</v>
      </c>
      <c r="J7" s="25" t="s">
        <v>63</v>
      </c>
      <c r="K7" s="25" t="s">
        <v>72</v>
      </c>
      <c r="L7" s="25" t="s">
        <v>63</v>
      </c>
      <c r="M7" s="25" t="s">
        <v>63</v>
      </c>
      <c r="N7" s="25" t="s">
        <v>63</v>
      </c>
      <c r="O7" s="25" t="s">
        <v>63</v>
      </c>
      <c r="P7" s="25" t="s">
        <v>63</v>
      </c>
      <c r="Q7" s="25" t="s">
        <v>63</v>
      </c>
      <c r="R7" s="25" t="s">
        <v>72</v>
      </c>
      <c r="S7" s="25" t="s">
        <v>63</v>
      </c>
      <c r="T7" s="25" t="s">
        <v>63</v>
      </c>
      <c r="U7" s="25" t="s">
        <v>63</v>
      </c>
      <c r="V7" s="25" t="s">
        <v>63</v>
      </c>
      <c r="W7" s="25" t="s">
        <v>63</v>
      </c>
      <c r="X7" s="25" t="s">
        <v>63</v>
      </c>
      <c r="Y7" s="25" t="s">
        <v>72</v>
      </c>
      <c r="Z7" s="25" t="s">
        <v>63</v>
      </c>
      <c r="AA7" s="25" t="s">
        <v>63</v>
      </c>
      <c r="AB7" s="25" t="s">
        <v>63</v>
      </c>
      <c r="AC7" s="25" t="s">
        <v>63</v>
      </c>
      <c r="AD7" s="25" t="s">
        <v>63</v>
      </c>
      <c r="AE7" s="25" t="s">
        <v>63</v>
      </c>
      <c r="AF7" s="25" t="s">
        <v>72</v>
      </c>
      <c r="AG7" s="1"/>
      <c r="AH7" s="7">
        <f t="shared" ref="AH7:AH18" ca="1" si="0">SUM($C$18:$AH$18)</f>
        <v>0</v>
      </c>
    </row>
    <row r="8" spans="2:34" ht="30" customHeight="1" x14ac:dyDescent="0.2">
      <c r="B8" t="str">
        <f>Werknemersnamen!B5</f>
        <v>Cinar Rafet</v>
      </c>
      <c r="C8" s="25" t="s">
        <v>63</v>
      </c>
      <c r="D8" s="25" t="s">
        <v>72</v>
      </c>
      <c r="E8" s="25" t="s">
        <v>63</v>
      </c>
      <c r="F8" s="25" t="s">
        <v>63</v>
      </c>
      <c r="G8" s="25" t="s">
        <v>63</v>
      </c>
      <c r="H8" s="25" t="s">
        <v>63</v>
      </c>
      <c r="I8" s="25" t="s">
        <v>63</v>
      </c>
      <c r="J8" s="25" t="s">
        <v>63</v>
      </c>
      <c r="K8" s="25" t="s">
        <v>72</v>
      </c>
      <c r="L8" s="25" t="s">
        <v>63</v>
      </c>
      <c r="M8" s="25" t="s">
        <v>63</v>
      </c>
      <c r="N8" s="25" t="s">
        <v>63</v>
      </c>
      <c r="O8" s="25" t="s">
        <v>63</v>
      </c>
      <c r="P8" s="25" t="s">
        <v>63</v>
      </c>
      <c r="Q8" s="25" t="s">
        <v>63</v>
      </c>
      <c r="R8" s="25" t="s">
        <v>72</v>
      </c>
      <c r="S8" s="25" t="s">
        <v>63</v>
      </c>
      <c r="T8" s="25" t="s">
        <v>63</v>
      </c>
      <c r="U8" s="25" t="s">
        <v>63</v>
      </c>
      <c r="V8" s="25" t="s">
        <v>63</v>
      </c>
      <c r="W8" s="25" t="s">
        <v>63</v>
      </c>
      <c r="X8" s="25" t="s">
        <v>63</v>
      </c>
      <c r="Y8" s="25" t="s">
        <v>72</v>
      </c>
      <c r="Z8" s="25" t="s">
        <v>63</v>
      </c>
      <c r="AA8" s="25" t="s">
        <v>63</v>
      </c>
      <c r="AB8" s="25" t="s">
        <v>63</v>
      </c>
      <c r="AC8" s="25" t="s">
        <v>63</v>
      </c>
      <c r="AD8" s="25" t="s">
        <v>63</v>
      </c>
      <c r="AE8" s="25" t="s">
        <v>63</v>
      </c>
      <c r="AF8" s="25" t="s">
        <v>72</v>
      </c>
      <c r="AG8" s="1"/>
      <c r="AH8" s="7">
        <f t="shared" ca="1" si="0"/>
        <v>0</v>
      </c>
    </row>
    <row r="9" spans="2:34" ht="30" customHeight="1" x14ac:dyDescent="0.2">
      <c r="B9" t="str">
        <f>Werknemersnamen!B6</f>
        <v>Cygora Lukasz Jan</v>
      </c>
      <c r="C9" s="25" t="s">
        <v>63</v>
      </c>
      <c r="D9" s="25" t="s">
        <v>72</v>
      </c>
      <c r="E9" s="25" t="s">
        <v>63</v>
      </c>
      <c r="F9" s="25" t="s">
        <v>63</v>
      </c>
      <c r="G9" s="25" t="s">
        <v>63</v>
      </c>
      <c r="H9" s="25" t="s">
        <v>63</v>
      </c>
      <c r="I9" s="25" t="s">
        <v>63</v>
      </c>
      <c r="J9" s="25" t="s">
        <v>63</v>
      </c>
      <c r="K9" s="25" t="s">
        <v>72</v>
      </c>
      <c r="L9" s="25" t="s">
        <v>63</v>
      </c>
      <c r="M9" s="25" t="s">
        <v>63</v>
      </c>
      <c r="N9" s="25" t="s">
        <v>63</v>
      </c>
      <c r="O9" s="25" t="s">
        <v>63</v>
      </c>
      <c r="P9" s="25" t="s">
        <v>63</v>
      </c>
      <c r="Q9" s="25" t="s">
        <v>63</v>
      </c>
      <c r="R9" s="25" t="s">
        <v>72</v>
      </c>
      <c r="S9" s="25" t="s">
        <v>63</v>
      </c>
      <c r="T9" s="25" t="s">
        <v>63</v>
      </c>
      <c r="U9" s="25" t="s">
        <v>63</v>
      </c>
      <c r="V9" s="25" t="s">
        <v>63</v>
      </c>
      <c r="W9" s="25" t="s">
        <v>63</v>
      </c>
      <c r="X9" s="25" t="s">
        <v>63</v>
      </c>
      <c r="Y9" s="25" t="s">
        <v>72</v>
      </c>
      <c r="Z9" s="25" t="s">
        <v>63</v>
      </c>
      <c r="AA9" s="25" t="s">
        <v>63</v>
      </c>
      <c r="AB9" s="25" t="s">
        <v>63</v>
      </c>
      <c r="AC9" s="25" t="s">
        <v>63</v>
      </c>
      <c r="AD9" s="25" t="s">
        <v>63</v>
      </c>
      <c r="AE9" s="25" t="s">
        <v>63</v>
      </c>
      <c r="AF9" s="25" t="s">
        <v>72</v>
      </c>
      <c r="AG9" s="1"/>
      <c r="AH9" s="7">
        <f t="shared" ca="1" si="0"/>
        <v>0</v>
      </c>
    </row>
    <row r="10" spans="2:34" ht="30" customHeight="1" x14ac:dyDescent="0.2">
      <c r="B10" t="str">
        <f>Werknemersnamen!B7</f>
        <v>El Karmoudi Taufik</v>
      </c>
      <c r="C10" s="25" t="s">
        <v>63</v>
      </c>
      <c r="D10" s="25" t="s">
        <v>72</v>
      </c>
      <c r="E10" s="25" t="s">
        <v>63</v>
      </c>
      <c r="F10" s="25" t="s">
        <v>63</v>
      </c>
      <c r="G10" s="25" t="s">
        <v>63</v>
      </c>
      <c r="H10" s="25" t="s">
        <v>63</v>
      </c>
      <c r="I10" s="25" t="s">
        <v>63</v>
      </c>
      <c r="J10" s="25" t="s">
        <v>63</v>
      </c>
      <c r="K10" s="25" t="s">
        <v>72</v>
      </c>
      <c r="L10" s="25" t="s">
        <v>63</v>
      </c>
      <c r="M10" s="25" t="s">
        <v>63</v>
      </c>
      <c r="N10" s="25" t="s">
        <v>63</v>
      </c>
      <c r="O10" s="25" t="s">
        <v>63</v>
      </c>
      <c r="P10" s="25" t="s">
        <v>63</v>
      </c>
      <c r="Q10" s="25" t="s">
        <v>63</v>
      </c>
      <c r="R10" s="25" t="s">
        <v>72</v>
      </c>
      <c r="S10" s="25" t="s">
        <v>63</v>
      </c>
      <c r="T10" s="25" t="s">
        <v>63</v>
      </c>
      <c r="U10" s="25" t="s">
        <v>63</v>
      </c>
      <c r="V10" s="25" t="s">
        <v>63</v>
      </c>
      <c r="W10" s="25" t="s">
        <v>63</v>
      </c>
      <c r="X10" s="25" t="s">
        <v>63</v>
      </c>
      <c r="Y10" s="25" t="s">
        <v>72</v>
      </c>
      <c r="Z10" s="25" t="s">
        <v>63</v>
      </c>
      <c r="AA10" s="25" t="s">
        <v>63</v>
      </c>
      <c r="AB10" s="25" t="s">
        <v>63</v>
      </c>
      <c r="AC10" s="25" t="s">
        <v>63</v>
      </c>
      <c r="AD10" s="25" t="s">
        <v>63</v>
      </c>
      <c r="AE10" s="25" t="s">
        <v>63</v>
      </c>
      <c r="AF10" s="25" t="s">
        <v>72</v>
      </c>
      <c r="AG10" s="1"/>
      <c r="AH10" s="7">
        <f t="shared" ca="1" si="0"/>
        <v>0</v>
      </c>
    </row>
    <row r="11" spans="2:34" ht="30" customHeight="1" x14ac:dyDescent="0.2">
      <c r="B11" t="str">
        <f>Werknemersnamen!B8</f>
        <v>El Maazouzi Abdelilah</v>
      </c>
      <c r="C11" s="25" t="s">
        <v>63</v>
      </c>
      <c r="D11" s="25" t="s">
        <v>72</v>
      </c>
      <c r="E11" s="25" t="s">
        <v>63</v>
      </c>
      <c r="F11" s="25" t="s">
        <v>63</v>
      </c>
      <c r="G11" s="25" t="s">
        <v>63</v>
      </c>
      <c r="H11" s="25" t="s">
        <v>63</v>
      </c>
      <c r="I11" s="25" t="s">
        <v>63</v>
      </c>
      <c r="J11" s="25" t="s">
        <v>63</v>
      </c>
      <c r="K11" s="25" t="s">
        <v>72</v>
      </c>
      <c r="L11" s="25" t="s">
        <v>63</v>
      </c>
      <c r="M11" s="25" t="s">
        <v>63</v>
      </c>
      <c r="N11" s="25" t="s">
        <v>63</v>
      </c>
      <c r="O11" s="25" t="s">
        <v>63</v>
      </c>
      <c r="P11" s="25" t="s">
        <v>63</v>
      </c>
      <c r="Q11" s="25" t="s">
        <v>63</v>
      </c>
      <c r="R11" s="25" t="s">
        <v>72</v>
      </c>
      <c r="S11" s="25" t="s">
        <v>63</v>
      </c>
      <c r="T11" s="25" t="s">
        <v>63</v>
      </c>
      <c r="U11" s="25" t="s">
        <v>63</v>
      </c>
      <c r="V11" s="25" t="s">
        <v>63</v>
      </c>
      <c r="W11" s="25" t="s">
        <v>63</v>
      </c>
      <c r="X11" s="25" t="s">
        <v>63</v>
      </c>
      <c r="Y11" s="25" t="s">
        <v>72</v>
      </c>
      <c r="Z11" s="25" t="s">
        <v>63</v>
      </c>
      <c r="AA11" s="25" t="s">
        <v>63</v>
      </c>
      <c r="AB11" s="25" t="s">
        <v>63</v>
      </c>
      <c r="AC11" s="25" t="s">
        <v>63</v>
      </c>
      <c r="AD11" s="25" t="s">
        <v>63</v>
      </c>
      <c r="AE11" s="25" t="s">
        <v>63</v>
      </c>
      <c r="AF11" s="25" t="s">
        <v>72</v>
      </c>
      <c r="AG11" s="1"/>
      <c r="AH11" s="7">
        <f t="shared" ca="1" si="0"/>
        <v>0</v>
      </c>
    </row>
    <row r="12" spans="2:34" ht="30" customHeight="1" x14ac:dyDescent="0.2">
      <c r="B12" t="str">
        <f>Werknemersnamen!B9</f>
        <v>Gultekin Muhammed A</v>
      </c>
      <c r="C12" s="25" t="s">
        <v>63</v>
      </c>
      <c r="D12" s="25" t="s">
        <v>72</v>
      </c>
      <c r="E12" s="25" t="s">
        <v>63</v>
      </c>
      <c r="F12" s="25" t="s">
        <v>63</v>
      </c>
      <c r="G12" s="25" t="s">
        <v>63</v>
      </c>
      <c r="H12" s="25" t="s">
        <v>63</v>
      </c>
      <c r="I12" s="25" t="s">
        <v>63</v>
      </c>
      <c r="J12" s="25" t="s">
        <v>63</v>
      </c>
      <c r="K12" s="25" t="s">
        <v>72</v>
      </c>
      <c r="L12" s="25" t="s">
        <v>63</v>
      </c>
      <c r="M12" s="25" t="s">
        <v>63</v>
      </c>
      <c r="N12" s="25" t="s">
        <v>63</v>
      </c>
      <c r="O12" s="25" t="s">
        <v>63</v>
      </c>
      <c r="P12" s="25" t="s">
        <v>63</v>
      </c>
      <c r="Q12" s="25" t="s">
        <v>63</v>
      </c>
      <c r="R12" s="25" t="s">
        <v>72</v>
      </c>
      <c r="S12" s="25" t="s">
        <v>63</v>
      </c>
      <c r="T12" s="25" t="s">
        <v>63</v>
      </c>
      <c r="U12" s="25" t="s">
        <v>63</v>
      </c>
      <c r="V12" s="25" t="s">
        <v>63</v>
      </c>
      <c r="W12" s="25" t="s">
        <v>63</v>
      </c>
      <c r="X12" s="25" t="s">
        <v>63</v>
      </c>
      <c r="Y12" s="25" t="s">
        <v>72</v>
      </c>
      <c r="Z12" s="25" t="s">
        <v>63</v>
      </c>
      <c r="AA12" s="25" t="s">
        <v>63</v>
      </c>
      <c r="AB12" s="25" t="s">
        <v>63</v>
      </c>
      <c r="AC12" s="25" t="s">
        <v>63</v>
      </c>
      <c r="AD12" s="25" t="s">
        <v>63</v>
      </c>
      <c r="AE12" s="25" t="s">
        <v>63</v>
      </c>
      <c r="AF12" s="25" t="s">
        <v>72</v>
      </c>
      <c r="AG12" s="1"/>
      <c r="AH12" s="7">
        <f t="shared" ca="1" si="0"/>
        <v>0</v>
      </c>
    </row>
    <row r="13" spans="2:34" ht="30" customHeight="1" x14ac:dyDescent="0.2">
      <c r="B13" t="str">
        <f>Werknemersnamen!B10</f>
        <v>Gultekin Muhammed E</v>
      </c>
      <c r="C13" s="25" t="s">
        <v>63</v>
      </c>
      <c r="D13" s="25" t="s">
        <v>72</v>
      </c>
      <c r="E13" s="25" t="s">
        <v>63</v>
      </c>
      <c r="F13" s="25" t="s">
        <v>63</v>
      </c>
      <c r="G13" s="25" t="s">
        <v>63</v>
      </c>
      <c r="H13" s="25" t="s">
        <v>63</v>
      </c>
      <c r="I13" s="25" t="s">
        <v>63</v>
      </c>
      <c r="J13" s="25" t="s">
        <v>63</v>
      </c>
      <c r="K13" s="25" t="s">
        <v>72</v>
      </c>
      <c r="L13" s="25" t="s">
        <v>63</v>
      </c>
      <c r="M13" s="25" t="s">
        <v>63</v>
      </c>
      <c r="N13" s="25" t="s">
        <v>63</v>
      </c>
      <c r="O13" s="25" t="s">
        <v>63</v>
      </c>
      <c r="P13" s="25" t="s">
        <v>63</v>
      </c>
      <c r="Q13" s="25" t="s">
        <v>63</v>
      </c>
      <c r="R13" s="25" t="s">
        <v>72</v>
      </c>
      <c r="S13" s="25" t="s">
        <v>63</v>
      </c>
      <c r="T13" s="25" t="s">
        <v>63</v>
      </c>
      <c r="U13" s="25" t="s">
        <v>63</v>
      </c>
      <c r="V13" s="25" t="s">
        <v>63</v>
      </c>
      <c r="W13" s="25" t="s">
        <v>63</v>
      </c>
      <c r="X13" s="25" t="s">
        <v>63</v>
      </c>
      <c r="Y13" s="25" t="s">
        <v>72</v>
      </c>
      <c r="Z13" s="25" t="s">
        <v>63</v>
      </c>
      <c r="AA13" s="25" t="s">
        <v>63</v>
      </c>
      <c r="AB13" s="25" t="s">
        <v>63</v>
      </c>
      <c r="AC13" s="25" t="s">
        <v>63</v>
      </c>
      <c r="AD13" s="25" t="s">
        <v>63</v>
      </c>
      <c r="AE13" s="25" t="s">
        <v>63</v>
      </c>
      <c r="AF13" s="25" t="s">
        <v>72</v>
      </c>
      <c r="AG13" s="1"/>
      <c r="AH13" s="7">
        <f t="shared" ca="1" si="0"/>
        <v>0</v>
      </c>
    </row>
    <row r="14" spans="2:34" ht="30" customHeight="1" x14ac:dyDescent="0.2">
      <c r="B14" t="str">
        <f>Werknemersnamen!B11</f>
        <v>Irakoze Patrick</v>
      </c>
      <c r="C14" s="25" t="s">
        <v>63</v>
      </c>
      <c r="D14" s="25" t="s">
        <v>72</v>
      </c>
      <c r="E14" s="25" t="s">
        <v>63</v>
      </c>
      <c r="F14" s="25" t="s">
        <v>63</v>
      </c>
      <c r="G14" s="25" t="s">
        <v>63</v>
      </c>
      <c r="H14" s="25" t="s">
        <v>63</v>
      </c>
      <c r="I14" s="25" t="s">
        <v>63</v>
      </c>
      <c r="J14" s="25" t="s">
        <v>63</v>
      </c>
      <c r="K14" s="25" t="s">
        <v>72</v>
      </c>
      <c r="L14" s="25" t="s">
        <v>63</v>
      </c>
      <c r="M14" s="25" t="s">
        <v>63</v>
      </c>
      <c r="N14" s="25" t="s">
        <v>63</v>
      </c>
      <c r="O14" s="25" t="s">
        <v>63</v>
      </c>
      <c r="P14" s="25" t="s">
        <v>63</v>
      </c>
      <c r="Q14" s="25" t="s">
        <v>63</v>
      </c>
      <c r="R14" s="25" t="s">
        <v>72</v>
      </c>
      <c r="S14" s="25" t="s">
        <v>63</v>
      </c>
      <c r="T14" s="25" t="s">
        <v>63</v>
      </c>
      <c r="U14" s="25" t="s">
        <v>63</v>
      </c>
      <c r="V14" s="25" t="s">
        <v>63</v>
      </c>
      <c r="W14" s="25" t="s">
        <v>63</v>
      </c>
      <c r="X14" s="25" t="s">
        <v>63</v>
      </c>
      <c r="Y14" s="25" t="s">
        <v>72</v>
      </c>
      <c r="Z14" s="25" t="s">
        <v>63</v>
      </c>
      <c r="AA14" s="25" t="s">
        <v>63</v>
      </c>
      <c r="AB14" s="25" t="s">
        <v>63</v>
      </c>
      <c r="AC14" s="25" t="s">
        <v>63</v>
      </c>
      <c r="AD14" s="25" t="s">
        <v>63</v>
      </c>
      <c r="AE14" s="25" t="s">
        <v>63</v>
      </c>
      <c r="AF14" s="25" t="s">
        <v>72</v>
      </c>
      <c r="AG14" s="1"/>
      <c r="AH14" s="7">
        <f t="shared" ca="1" si="0"/>
        <v>0</v>
      </c>
    </row>
    <row r="15" spans="2:34" ht="30" customHeight="1" x14ac:dyDescent="0.2">
      <c r="B15" t="str">
        <f>Werknemersnamen!B12</f>
        <v>Kacar Abdullah</v>
      </c>
      <c r="C15" s="25" t="s">
        <v>63</v>
      </c>
      <c r="D15" s="25" t="s">
        <v>72</v>
      </c>
      <c r="E15" s="25" t="s">
        <v>63</v>
      </c>
      <c r="F15" s="25" t="s">
        <v>63</v>
      </c>
      <c r="G15" s="25" t="s">
        <v>63</v>
      </c>
      <c r="H15" s="25" t="s">
        <v>63</v>
      </c>
      <c r="I15" s="25" t="s">
        <v>63</v>
      </c>
      <c r="J15" s="25" t="s">
        <v>63</v>
      </c>
      <c r="K15" s="25" t="s">
        <v>72</v>
      </c>
      <c r="L15" s="25" t="s">
        <v>63</v>
      </c>
      <c r="M15" s="25" t="s">
        <v>63</v>
      </c>
      <c r="N15" s="25" t="s">
        <v>63</v>
      </c>
      <c r="O15" s="25" t="s">
        <v>63</v>
      </c>
      <c r="P15" s="25" t="s">
        <v>63</v>
      </c>
      <c r="Q15" s="25" t="s">
        <v>63</v>
      </c>
      <c r="R15" s="25" t="s">
        <v>72</v>
      </c>
      <c r="S15" s="25" t="s">
        <v>63</v>
      </c>
      <c r="T15" s="25" t="s">
        <v>63</v>
      </c>
      <c r="U15" s="25" t="s">
        <v>63</v>
      </c>
      <c r="V15" s="25" t="s">
        <v>63</v>
      </c>
      <c r="W15" s="25" t="s">
        <v>63</v>
      </c>
      <c r="X15" s="25" t="s">
        <v>63</v>
      </c>
      <c r="Y15" s="25" t="s">
        <v>72</v>
      </c>
      <c r="Z15" s="25" t="s">
        <v>63</v>
      </c>
      <c r="AA15" s="25" t="s">
        <v>63</v>
      </c>
      <c r="AB15" s="25" t="s">
        <v>63</v>
      </c>
      <c r="AC15" s="25" t="s">
        <v>63</v>
      </c>
      <c r="AD15" s="25" t="s">
        <v>63</v>
      </c>
      <c r="AE15" s="25" t="s">
        <v>63</v>
      </c>
      <c r="AF15" s="25" t="s">
        <v>72</v>
      </c>
      <c r="AG15" s="1"/>
      <c r="AH15" s="7">
        <f t="shared" ca="1" si="0"/>
        <v>0</v>
      </c>
    </row>
    <row r="16" spans="2:34" ht="30" customHeight="1" x14ac:dyDescent="0.2">
      <c r="B16" t="str">
        <f>Werknemersnamen!B13</f>
        <v>Kefes Levent</v>
      </c>
      <c r="C16" s="25" t="s">
        <v>63</v>
      </c>
      <c r="D16" s="25" t="s">
        <v>72</v>
      </c>
      <c r="E16" s="25" t="s">
        <v>63</v>
      </c>
      <c r="F16" s="25" t="s">
        <v>63</v>
      </c>
      <c r="G16" s="25" t="s">
        <v>63</v>
      </c>
      <c r="H16" s="25" t="s">
        <v>63</v>
      </c>
      <c r="I16" s="25" t="s">
        <v>63</v>
      </c>
      <c r="J16" s="25" t="s">
        <v>63</v>
      </c>
      <c r="K16" s="25" t="s">
        <v>72</v>
      </c>
      <c r="L16" s="25" t="s">
        <v>63</v>
      </c>
      <c r="M16" s="25" t="s">
        <v>63</v>
      </c>
      <c r="N16" s="25" t="s">
        <v>63</v>
      </c>
      <c r="O16" s="25" t="s">
        <v>63</v>
      </c>
      <c r="P16" s="25" t="s">
        <v>63</v>
      </c>
      <c r="Q16" s="25" t="s">
        <v>63</v>
      </c>
      <c r="R16" s="25" t="s">
        <v>72</v>
      </c>
      <c r="S16" s="25" t="s">
        <v>63</v>
      </c>
      <c r="T16" s="25" t="s">
        <v>63</v>
      </c>
      <c r="U16" s="25" t="s">
        <v>63</v>
      </c>
      <c r="V16" s="25" t="s">
        <v>63</v>
      </c>
      <c r="W16" s="25" t="s">
        <v>63</v>
      </c>
      <c r="X16" s="25" t="s">
        <v>63</v>
      </c>
      <c r="Y16" s="25" t="s">
        <v>72</v>
      </c>
      <c r="Z16" s="25" t="s">
        <v>63</v>
      </c>
      <c r="AA16" s="25" t="s">
        <v>63</v>
      </c>
      <c r="AB16" s="25" t="s">
        <v>63</v>
      </c>
      <c r="AC16" s="25" t="s">
        <v>63</v>
      </c>
      <c r="AD16" s="25" t="s">
        <v>63</v>
      </c>
      <c r="AE16" s="25" t="s">
        <v>63</v>
      </c>
      <c r="AF16" s="25" t="s">
        <v>72</v>
      </c>
      <c r="AG16" s="1"/>
      <c r="AH16" s="7">
        <f t="shared" ca="1" si="0"/>
        <v>0</v>
      </c>
    </row>
    <row r="17" spans="2:34" ht="30" customHeight="1" x14ac:dyDescent="0.2">
      <c r="B17" t="str">
        <f>Werknemersnamen!B14</f>
        <v>Moualdine Ali</v>
      </c>
      <c r="C17" s="25" t="s">
        <v>63</v>
      </c>
      <c r="D17" s="25" t="s">
        <v>72</v>
      </c>
      <c r="E17" s="25" t="s">
        <v>63</v>
      </c>
      <c r="F17" s="25" t="s">
        <v>63</v>
      </c>
      <c r="G17" s="25" t="s">
        <v>63</v>
      </c>
      <c r="H17" s="25" t="s">
        <v>63</v>
      </c>
      <c r="I17" s="25" t="s">
        <v>63</v>
      </c>
      <c r="J17" s="25" t="s">
        <v>63</v>
      </c>
      <c r="K17" s="25" t="s">
        <v>72</v>
      </c>
      <c r="L17" s="25" t="s">
        <v>63</v>
      </c>
      <c r="M17" s="25" t="s">
        <v>63</v>
      </c>
      <c r="N17" s="25" t="s">
        <v>63</v>
      </c>
      <c r="O17" s="25" t="s">
        <v>63</v>
      </c>
      <c r="P17" s="25" t="s">
        <v>63</v>
      </c>
      <c r="Q17" s="25" t="s">
        <v>63</v>
      </c>
      <c r="R17" s="25" t="s">
        <v>72</v>
      </c>
      <c r="S17" s="25" t="s">
        <v>63</v>
      </c>
      <c r="T17" s="25" t="s">
        <v>63</v>
      </c>
      <c r="U17" s="25" t="s">
        <v>63</v>
      </c>
      <c r="V17" s="25" t="s">
        <v>63</v>
      </c>
      <c r="W17" s="25" t="s">
        <v>63</v>
      </c>
      <c r="X17" s="25" t="s">
        <v>63</v>
      </c>
      <c r="Y17" s="25" t="s">
        <v>72</v>
      </c>
      <c r="Z17" s="25" t="s">
        <v>63</v>
      </c>
      <c r="AA17" s="25" t="s">
        <v>63</v>
      </c>
      <c r="AB17" s="25" t="s">
        <v>63</v>
      </c>
      <c r="AC17" s="25" t="s">
        <v>63</v>
      </c>
      <c r="AD17" s="25" t="s">
        <v>63</v>
      </c>
      <c r="AE17" s="25" t="s">
        <v>63</v>
      </c>
      <c r="AF17" s="25" t="s">
        <v>72</v>
      </c>
      <c r="AG17" s="1"/>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B19" s="16"/>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2:34" ht="30" customHeight="1" x14ac:dyDescent="0.2">
      <c r="B20" t="s">
        <v>91</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7:AG18">
    <cfRule type="expression" priority="1" stopIfTrue="1">
      <formula>C7=""</formula>
    </cfRule>
    <cfRule type="expression" dxfId="148" priority="2" stopIfTrue="1">
      <formula>C7=KeyCustom2</formula>
    </cfRule>
    <cfRule type="expression" dxfId="147" priority="3" stopIfTrue="1">
      <formula>C7=KeyCustom1</formula>
    </cfRule>
    <cfRule type="expression" dxfId="146" priority="4" stopIfTrue="1">
      <formula>C7=KeySick</formula>
    </cfRule>
    <cfRule type="expression" dxfId="145" priority="5" stopIfTrue="1">
      <formula>C7=KeyPersonal</formula>
    </cfRule>
    <cfRule type="expression" dxfId="144"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{89BEC7C9-7EBE-094A-943A-09AC999878A2}</x14:id>
        </ext>
      </extLst>
    </cfRule>
  </conditionalFormatting>
  <dataValidations count="14">
    <dataValidation allowBlank="1" showInputMessage="1" showErrorMessage="1" prompt="De dagen van de maand in deze rij worden automatisch gegenereerd. Voer voor elke dag van de maand in elke kolom het verzuim en het type verzuim van een werknemer in. Leeg betekent geen verzuim" sqref="C6" xr:uid="{62286091-2E4D-8640-8BF3-9636BA0CA3E3}"/>
    <dataValidation allowBlank="1" showInputMessage="1" showErrorMessage="1" prompt="Deze rij definieert de sleutels die worden gebruikt in de tabel: cel C2 is Vakantie, G2 is Persoonlijk en K2 is Ziekteverlof. De cellen N2 en R2 kunnen worden aangepast" sqref="B2" xr:uid="{00000000-0002-0000-0A00-000002000000}"/>
    <dataValidation allowBlank="1" showInputMessage="1" showErrorMessage="1" prompt="Voer links een label in om de aangepaste sleutel te beschrijven" sqref="O2:Q2 S2:U2" xr:uid="{00000000-0002-0000-0A00-000003000000}"/>
    <dataValidation allowBlank="1" showInputMessage="1" showErrorMessage="1" prompt="Voer een letter in en pas rechts het label aan om een ander sleutelitem toe te voegen" sqref="N2 R2" xr:uid="{00000000-0002-0000-0A00-000004000000}"/>
    <dataValidation allowBlank="1" showInputMessage="1" showErrorMessage="1" prompt="De letter &quot;Z&quot; geeft afwezigheid vanwege ziekte aan" sqref="K2" xr:uid="{00000000-0002-0000-0A00-000005000000}"/>
    <dataValidation allowBlank="1" showInputMessage="1" showErrorMessage="1" prompt="De letter &quot;P&quot; geeft afwezigheid vanwege persoonlijke redenen aan" sqref="G2" xr:uid="{00000000-0002-0000-0A00-000006000000}"/>
    <dataValidation allowBlank="1" showInputMessage="1" showErrorMessage="1" prompt="De letter &quot;V&quot; geeft afwezigheid vanwege vakantie aan" sqref="C2" xr:uid="{00000000-0002-0000-0A00-000007000000}"/>
    <dataValidation allowBlank="1" showInputMessage="1" showErrorMessage="1" prompt="De titel wordt automatisch bijgewerkt in deze cel. Als u de titel wilt wijzigen, werk B1 in het januari-werkblad bij" sqref="B1" xr:uid="{00000000-0002-0000-0A00-000008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B67F6101-A498-1B43-B096-F942D4FCB0C2}"/>
    <dataValidation allowBlank="1" showInputMessage="1" showErrorMessage="1" prompt="Houd de afwezigheid in november in dit werkblad bij" sqref="A1" xr:uid="{00000000-0002-0000-0A00-00000A000000}"/>
    <dataValidation allowBlank="1" showInputMessage="1" showErrorMessage="1" prompt="Maand van dit verzuimschema. Werk het jaar bij in cel AH4. Houd de totalen bij per maand in de laatste cel van de tabel. Namen van werknemers invoeren in tabelkolom B" sqref="B4" xr:uid="{C4EAF7AD-1CFE-B749-872D-1FCFACB79513}"/>
    <dataValidation allowBlank="1" showInputMessage="1" showErrorMessage="1" prompt="Berekent automatisch het totaal aantal dagen dat een werknemer in deze maand niet afwezig was" sqref="AH6" xr:uid="{55D01686-5525-CE4F-9CFD-053975D0664F}"/>
    <dataValidation allowBlank="1" showInputMessage="1" showErrorMessage="1" prompt="Weekdagen in deze rij worden automatisch bijgewerkt voor de maand, overeenkomstig het jaar dat is ingevoerd in AH4. Elke dag van de maand is een kolom om het verzuim en type verzuim van een werknemer te noteren" sqref="C5" xr:uid="{B65D28D9-3139-6647-A9D3-122FF8C4649F}"/>
    <dataValidation allowBlank="1" showInputMessage="1" showErrorMessage="1" prompt="Voer het jaar in deze cel in" sqref="AH4" xr:uid="{5FF2A9A8-F6EE-EB43-A263-6700A3B9DCE7}"/>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89BEC7C9-7EBE-094A-943A-09AC999878A2}">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12">
    <tabColor theme="7" tint="0.79998168889431442"/>
    <pageSetUpPr fitToPage="1"/>
  </sheetPr>
  <dimension ref="B1:AH20"/>
  <sheetViews>
    <sheetView showGridLines="0" zoomScaleNormal="100" workbookViewId="0">
      <selection activeCell="AH5" sqref="AH5"/>
    </sheetView>
  </sheetViews>
  <sheetFormatPr baseColWidth="10" defaultColWidth="8.83203125" defaultRowHeight="30" customHeight="1" x14ac:dyDescent="0.2"/>
  <cols>
    <col min="1" max="1" width="2.6640625" customWidth="1"/>
    <col min="2" max="2" width="25.6640625" customWidth="1"/>
    <col min="3" max="33" width="4.6640625" customWidth="1"/>
    <col min="34" max="34" width="20.6640625" customWidth="1"/>
    <col min="35" max="35" width="2.6640625" customWidth="1"/>
  </cols>
  <sheetData>
    <row r="1" spans="2:34" ht="50" customHeight="1" x14ac:dyDescent="0.2">
      <c r="B1" s="10" t="str">
        <f>Employee_Absence_Title</f>
        <v xml:space="preserve">Afwezigheidsplanning Werknemers </v>
      </c>
    </row>
    <row r="2" spans="2:34" ht="15" customHeight="1" x14ac:dyDescent="0.2">
      <c r="B2" s="14" t="s">
        <v>1</v>
      </c>
      <c r="C2" s="2" t="s">
        <v>4</v>
      </c>
      <c r="D2" s="29" t="s">
        <v>6</v>
      </c>
      <c r="E2" s="29"/>
      <c r="F2" s="29"/>
      <c r="G2" s="3" t="s">
        <v>9</v>
      </c>
      <c r="H2" s="29" t="s">
        <v>13</v>
      </c>
      <c r="I2" s="29"/>
      <c r="J2" s="29"/>
      <c r="K2" s="4" t="s">
        <v>11</v>
      </c>
      <c r="L2" s="29" t="s">
        <v>18</v>
      </c>
      <c r="M2" s="29"/>
      <c r="N2" s="5"/>
      <c r="O2" s="29" t="s">
        <v>22</v>
      </c>
      <c r="P2" s="29"/>
      <c r="Q2" s="29"/>
      <c r="R2" s="6"/>
      <c r="S2" s="29" t="s">
        <v>27</v>
      </c>
      <c r="T2" s="29"/>
      <c r="U2" s="29"/>
    </row>
    <row r="3" spans="2:34" ht="15" customHeight="1" x14ac:dyDescent="0.2">
      <c r="B3" s="10"/>
    </row>
    <row r="4" spans="2:34" ht="30" customHeight="1" x14ac:dyDescent="0.2">
      <c r="B4" s="8" t="s">
        <v>52</v>
      </c>
      <c r="C4" s="28" t="s">
        <v>55</v>
      </c>
      <c r="D4" s="28"/>
      <c r="E4" s="28"/>
      <c r="F4" s="28"/>
      <c r="G4" s="28"/>
      <c r="H4" s="28"/>
      <c r="I4" s="28"/>
      <c r="J4" s="28"/>
      <c r="K4" s="28"/>
      <c r="L4" s="28"/>
      <c r="M4" s="28"/>
      <c r="N4" s="28"/>
      <c r="O4" s="28"/>
      <c r="P4" s="28"/>
      <c r="Q4" s="28"/>
      <c r="R4" s="28"/>
      <c r="S4" s="28"/>
      <c r="T4" s="28"/>
      <c r="U4" s="28"/>
      <c r="V4" s="28"/>
      <c r="W4" s="28"/>
      <c r="X4" s="28"/>
      <c r="Y4" s="28"/>
      <c r="Z4" s="28"/>
      <c r="AA4" s="28"/>
      <c r="AB4" s="28"/>
      <c r="AC4" s="28"/>
      <c r="AD4" s="28"/>
      <c r="AE4" s="28"/>
      <c r="AF4" s="28"/>
      <c r="AG4" s="28"/>
      <c r="AH4" s="8">
        <f>CalendarYear</f>
        <v>2026</v>
      </c>
    </row>
    <row r="5" spans="2:34" ht="15" customHeight="1" x14ac:dyDescent="0.2">
      <c r="B5" s="8"/>
      <c r="C5" s="1" t="s">
        <v>76</v>
      </c>
      <c r="D5" s="1" t="s">
        <v>77</v>
      </c>
      <c r="E5" s="1" t="s">
        <v>78</v>
      </c>
      <c r="F5" s="1" t="s">
        <v>79</v>
      </c>
      <c r="G5" s="1" t="s">
        <v>73</v>
      </c>
      <c r="H5" s="1" t="s">
        <v>74</v>
      </c>
      <c r="I5" s="1" t="s">
        <v>75</v>
      </c>
      <c r="J5" s="1" t="s">
        <v>76</v>
      </c>
      <c r="K5" s="1" t="s">
        <v>77</v>
      </c>
      <c r="L5" s="1" t="s">
        <v>78</v>
      </c>
      <c r="M5" s="1" t="s">
        <v>79</v>
      </c>
      <c r="N5" s="1" t="s">
        <v>73</v>
      </c>
      <c r="O5" s="1" t="s">
        <v>74</v>
      </c>
      <c r="P5" s="1" t="s">
        <v>75</v>
      </c>
      <c r="Q5" s="1" t="s">
        <v>76</v>
      </c>
      <c r="R5" s="1" t="s">
        <v>77</v>
      </c>
      <c r="S5" s="1" t="s">
        <v>78</v>
      </c>
      <c r="T5" s="1" t="s">
        <v>79</v>
      </c>
      <c r="U5" s="1" t="s">
        <v>73</v>
      </c>
      <c r="V5" s="1" t="s">
        <v>74</v>
      </c>
      <c r="W5" s="1" t="s">
        <v>75</v>
      </c>
      <c r="X5" s="1" t="s">
        <v>76</v>
      </c>
      <c r="Y5" s="1" t="s">
        <v>77</v>
      </c>
      <c r="Z5" s="1" t="s">
        <v>78</v>
      </c>
      <c r="AA5" s="1" t="s">
        <v>79</v>
      </c>
      <c r="AB5" s="1" t="s">
        <v>73</v>
      </c>
      <c r="AC5" s="1" t="s">
        <v>74</v>
      </c>
      <c r="AD5" s="1" t="s">
        <v>75</v>
      </c>
      <c r="AE5" s="1" t="s">
        <v>76</v>
      </c>
      <c r="AF5" s="1" t="s">
        <v>77</v>
      </c>
      <c r="AG5" s="1" t="s">
        <v>78</v>
      </c>
      <c r="AH5" s="8"/>
    </row>
    <row r="6" spans="2:34" ht="15" customHeight="1" x14ac:dyDescent="0.2">
      <c r="B6" s="11" t="s">
        <v>3</v>
      </c>
      <c r="C6" s="1" t="s">
        <v>5</v>
      </c>
      <c r="D6" s="1" t="s">
        <v>7</v>
      </c>
      <c r="E6" s="1" t="s">
        <v>8</v>
      </c>
      <c r="F6" s="1" t="s">
        <v>10</v>
      </c>
      <c r="G6" s="1" t="s">
        <v>12</v>
      </c>
      <c r="H6" s="1" t="s">
        <v>14</v>
      </c>
      <c r="I6" s="1" t="s">
        <v>15</v>
      </c>
      <c r="J6" s="1" t="s">
        <v>16</v>
      </c>
      <c r="K6" s="1" t="s">
        <v>17</v>
      </c>
      <c r="L6" s="1" t="s">
        <v>19</v>
      </c>
      <c r="M6" s="1" t="s">
        <v>20</v>
      </c>
      <c r="N6" s="1" t="s">
        <v>21</v>
      </c>
      <c r="O6" s="1" t="s">
        <v>23</v>
      </c>
      <c r="P6" s="1" t="s">
        <v>24</v>
      </c>
      <c r="Q6" s="1" t="s">
        <v>25</v>
      </c>
      <c r="R6" s="1" t="s">
        <v>26</v>
      </c>
      <c r="S6" s="1" t="s">
        <v>28</v>
      </c>
      <c r="T6" s="1" t="s">
        <v>29</v>
      </c>
      <c r="U6" s="1" t="s">
        <v>30</v>
      </c>
      <c r="V6" s="1" t="s">
        <v>31</v>
      </c>
      <c r="W6" s="1" t="s">
        <v>32</v>
      </c>
      <c r="X6" s="1" t="s">
        <v>33</v>
      </c>
      <c r="Y6" s="1" t="s">
        <v>34</v>
      </c>
      <c r="Z6" s="1" t="s">
        <v>35</v>
      </c>
      <c r="AA6" s="1" t="s">
        <v>36</v>
      </c>
      <c r="AB6" s="1" t="s">
        <v>37</v>
      </c>
      <c r="AC6" s="1" t="s">
        <v>38</v>
      </c>
      <c r="AD6" s="1" t="s">
        <v>39</v>
      </c>
      <c r="AE6" s="1" t="s">
        <v>40</v>
      </c>
      <c r="AF6" s="1" t="s">
        <v>41</v>
      </c>
      <c r="AG6" s="1" t="s">
        <v>42</v>
      </c>
      <c r="AH6" s="12" t="s">
        <v>64</v>
      </c>
    </row>
    <row r="7" spans="2:34" ht="30" customHeight="1" x14ac:dyDescent="0.2">
      <c r="B7" t="str">
        <f>Werknemersnamen!B4</f>
        <v>Biragoye Isaac</v>
      </c>
      <c r="C7" s="25" t="s">
        <v>63</v>
      </c>
      <c r="D7" s="25" t="s">
        <v>63</v>
      </c>
      <c r="E7" s="25" t="s">
        <v>63</v>
      </c>
      <c r="F7" s="25" t="s">
        <v>63</v>
      </c>
      <c r="G7" s="25" t="s">
        <v>63</v>
      </c>
      <c r="H7" s="25" t="s">
        <v>63</v>
      </c>
      <c r="I7" s="25" t="s">
        <v>72</v>
      </c>
      <c r="J7" s="25" t="s">
        <v>63</v>
      </c>
      <c r="K7" s="25" t="s">
        <v>63</v>
      </c>
      <c r="L7" s="25" t="s">
        <v>63</v>
      </c>
      <c r="M7" s="25" t="s">
        <v>63</v>
      </c>
      <c r="N7" s="25" t="s">
        <v>63</v>
      </c>
      <c r="O7" s="25" t="s">
        <v>63</v>
      </c>
      <c r="P7" s="25" t="s">
        <v>72</v>
      </c>
      <c r="Q7" s="25" t="s">
        <v>63</v>
      </c>
      <c r="R7" s="25" t="s">
        <v>63</v>
      </c>
      <c r="S7" s="25" t="s">
        <v>63</v>
      </c>
      <c r="T7" s="25" t="s">
        <v>63</v>
      </c>
      <c r="U7" s="25" t="s">
        <v>63</v>
      </c>
      <c r="V7" s="25" t="s">
        <v>63</v>
      </c>
      <c r="W7" s="25" t="s">
        <v>72</v>
      </c>
      <c r="X7" s="25" t="s">
        <v>63</v>
      </c>
      <c r="Y7" s="25" t="s">
        <v>63</v>
      </c>
      <c r="Z7" s="25" t="s">
        <v>72</v>
      </c>
      <c r="AA7" s="25" t="s">
        <v>63</v>
      </c>
      <c r="AB7" s="25" t="s">
        <v>63</v>
      </c>
      <c r="AC7" s="25" t="s">
        <v>63</v>
      </c>
      <c r="AD7" s="25" t="s">
        <v>72</v>
      </c>
      <c r="AE7" s="25" t="s">
        <v>63</v>
      </c>
      <c r="AF7" s="25" t="s">
        <v>63</v>
      </c>
      <c r="AG7" s="25" t="s">
        <v>72</v>
      </c>
      <c r="AH7" s="7">
        <f t="shared" ref="AH7:AH18" ca="1" si="0">SUM($C$18:$AH$18)</f>
        <v>0</v>
      </c>
    </row>
    <row r="8" spans="2:34" ht="30" customHeight="1" x14ac:dyDescent="0.2">
      <c r="B8" t="str">
        <f>Werknemersnamen!B5</f>
        <v>Cinar Rafet</v>
      </c>
      <c r="C8" s="25" t="s">
        <v>63</v>
      </c>
      <c r="D8" s="25" t="s">
        <v>63</v>
      </c>
      <c r="E8" s="25" t="s">
        <v>63</v>
      </c>
      <c r="F8" s="25" t="s">
        <v>63</v>
      </c>
      <c r="G8" s="25" t="s">
        <v>63</v>
      </c>
      <c r="H8" s="25" t="s">
        <v>63</v>
      </c>
      <c r="I8" s="25" t="s">
        <v>72</v>
      </c>
      <c r="J8" s="25" t="s">
        <v>63</v>
      </c>
      <c r="K8" s="25" t="s">
        <v>63</v>
      </c>
      <c r="L8" s="25" t="s">
        <v>63</v>
      </c>
      <c r="M8" s="25" t="s">
        <v>63</v>
      </c>
      <c r="N8" s="25" t="s">
        <v>63</v>
      </c>
      <c r="O8" s="25" t="s">
        <v>63</v>
      </c>
      <c r="P8" s="25" t="s">
        <v>72</v>
      </c>
      <c r="Q8" s="25" t="s">
        <v>63</v>
      </c>
      <c r="R8" s="25" t="s">
        <v>63</v>
      </c>
      <c r="S8" s="25" t="s">
        <v>63</v>
      </c>
      <c r="T8" s="25" t="s">
        <v>63</v>
      </c>
      <c r="U8" s="25" t="s">
        <v>63</v>
      </c>
      <c r="V8" s="25" t="s">
        <v>63</v>
      </c>
      <c r="W8" s="25" t="s">
        <v>72</v>
      </c>
      <c r="X8" s="25" t="s">
        <v>63</v>
      </c>
      <c r="Y8" s="25" t="s">
        <v>63</v>
      </c>
      <c r="Z8" s="25" t="s">
        <v>72</v>
      </c>
      <c r="AA8" s="25" t="s">
        <v>63</v>
      </c>
      <c r="AB8" s="25" t="s">
        <v>63</v>
      </c>
      <c r="AC8" s="25" t="s">
        <v>63</v>
      </c>
      <c r="AD8" s="25" t="s">
        <v>72</v>
      </c>
      <c r="AE8" s="25" t="s">
        <v>63</v>
      </c>
      <c r="AF8" s="25" t="s">
        <v>63</v>
      </c>
      <c r="AG8" s="25" t="s">
        <v>72</v>
      </c>
      <c r="AH8" s="7">
        <f t="shared" ca="1" si="0"/>
        <v>0</v>
      </c>
    </row>
    <row r="9" spans="2:34" ht="30" customHeight="1" x14ac:dyDescent="0.2">
      <c r="B9" t="str">
        <f>Werknemersnamen!B6</f>
        <v>Cygora Lukasz Jan</v>
      </c>
      <c r="C9" s="25" t="s">
        <v>63</v>
      </c>
      <c r="D9" s="25" t="s">
        <v>63</v>
      </c>
      <c r="E9" s="25" t="s">
        <v>63</v>
      </c>
      <c r="F9" s="25" t="s">
        <v>63</v>
      </c>
      <c r="G9" s="25" t="s">
        <v>63</v>
      </c>
      <c r="H9" s="25" t="s">
        <v>63</v>
      </c>
      <c r="I9" s="25" t="s">
        <v>72</v>
      </c>
      <c r="J9" s="25" t="s">
        <v>63</v>
      </c>
      <c r="K9" s="25" t="s">
        <v>63</v>
      </c>
      <c r="L9" s="25" t="s">
        <v>63</v>
      </c>
      <c r="M9" s="25" t="s">
        <v>63</v>
      </c>
      <c r="N9" s="25" t="s">
        <v>63</v>
      </c>
      <c r="O9" s="25" t="s">
        <v>63</v>
      </c>
      <c r="P9" s="25" t="s">
        <v>72</v>
      </c>
      <c r="Q9" s="25" t="s">
        <v>63</v>
      </c>
      <c r="R9" s="25" t="s">
        <v>63</v>
      </c>
      <c r="S9" s="25" t="s">
        <v>63</v>
      </c>
      <c r="T9" s="25" t="s">
        <v>63</v>
      </c>
      <c r="U9" s="25" t="s">
        <v>63</v>
      </c>
      <c r="V9" s="25" t="s">
        <v>63</v>
      </c>
      <c r="W9" s="25" t="s">
        <v>72</v>
      </c>
      <c r="X9" s="25" t="s">
        <v>63</v>
      </c>
      <c r="Y9" s="25" t="s">
        <v>63</v>
      </c>
      <c r="Z9" s="25" t="s">
        <v>72</v>
      </c>
      <c r="AA9" s="25" t="s">
        <v>63</v>
      </c>
      <c r="AB9" s="25" t="s">
        <v>63</v>
      </c>
      <c r="AC9" s="25" t="s">
        <v>63</v>
      </c>
      <c r="AD9" s="25" t="s">
        <v>72</v>
      </c>
      <c r="AE9" s="25" t="s">
        <v>63</v>
      </c>
      <c r="AF9" s="25" t="s">
        <v>63</v>
      </c>
      <c r="AG9" s="25" t="s">
        <v>72</v>
      </c>
      <c r="AH9" s="7">
        <f t="shared" ca="1" si="0"/>
        <v>0</v>
      </c>
    </row>
    <row r="10" spans="2:34" ht="30" customHeight="1" x14ac:dyDescent="0.2">
      <c r="B10" t="str">
        <f>Werknemersnamen!B7</f>
        <v>El Karmoudi Taufik</v>
      </c>
      <c r="C10" s="25" t="s">
        <v>63</v>
      </c>
      <c r="D10" s="25" t="s">
        <v>63</v>
      </c>
      <c r="E10" s="25" t="s">
        <v>63</v>
      </c>
      <c r="F10" s="25" t="s">
        <v>63</v>
      </c>
      <c r="G10" s="25" t="s">
        <v>63</v>
      </c>
      <c r="H10" s="25" t="s">
        <v>63</v>
      </c>
      <c r="I10" s="25" t="s">
        <v>72</v>
      </c>
      <c r="J10" s="25" t="s">
        <v>63</v>
      </c>
      <c r="K10" s="25" t="s">
        <v>63</v>
      </c>
      <c r="L10" s="25" t="s">
        <v>63</v>
      </c>
      <c r="M10" s="25" t="s">
        <v>63</v>
      </c>
      <c r="N10" s="25" t="s">
        <v>63</v>
      </c>
      <c r="O10" s="25" t="s">
        <v>63</v>
      </c>
      <c r="P10" s="25" t="s">
        <v>72</v>
      </c>
      <c r="Q10" s="25" t="s">
        <v>63</v>
      </c>
      <c r="R10" s="25" t="s">
        <v>63</v>
      </c>
      <c r="S10" s="25" t="s">
        <v>63</v>
      </c>
      <c r="T10" s="25" t="s">
        <v>63</v>
      </c>
      <c r="U10" s="25" t="s">
        <v>63</v>
      </c>
      <c r="V10" s="25" t="s">
        <v>63</v>
      </c>
      <c r="W10" s="25" t="s">
        <v>72</v>
      </c>
      <c r="X10" s="25" t="s">
        <v>63</v>
      </c>
      <c r="Y10" s="25" t="s">
        <v>63</v>
      </c>
      <c r="Z10" s="25" t="s">
        <v>72</v>
      </c>
      <c r="AA10" s="25" t="s">
        <v>63</v>
      </c>
      <c r="AB10" s="25" t="s">
        <v>63</v>
      </c>
      <c r="AC10" s="25" t="s">
        <v>63</v>
      </c>
      <c r="AD10" s="25" t="s">
        <v>72</v>
      </c>
      <c r="AE10" s="25" t="s">
        <v>63</v>
      </c>
      <c r="AF10" s="25" t="s">
        <v>63</v>
      </c>
      <c r="AG10" s="25" t="s">
        <v>72</v>
      </c>
      <c r="AH10" s="7">
        <f t="shared" ca="1" si="0"/>
        <v>0</v>
      </c>
    </row>
    <row r="11" spans="2:34" ht="30" customHeight="1" x14ac:dyDescent="0.2">
      <c r="B11" t="str">
        <f>Werknemersnamen!B8</f>
        <v>El Maazouzi Abdelilah</v>
      </c>
      <c r="C11" s="25" t="s">
        <v>63</v>
      </c>
      <c r="D11" s="25" t="s">
        <v>63</v>
      </c>
      <c r="E11" s="25" t="s">
        <v>63</v>
      </c>
      <c r="F11" s="25" t="s">
        <v>63</v>
      </c>
      <c r="G11" s="25" t="s">
        <v>63</v>
      </c>
      <c r="H11" s="25" t="s">
        <v>63</v>
      </c>
      <c r="I11" s="25" t="s">
        <v>72</v>
      </c>
      <c r="J11" s="25" t="s">
        <v>63</v>
      </c>
      <c r="K11" s="25" t="s">
        <v>63</v>
      </c>
      <c r="L11" s="25" t="s">
        <v>63</v>
      </c>
      <c r="M11" s="25" t="s">
        <v>63</v>
      </c>
      <c r="N11" s="25" t="s">
        <v>63</v>
      </c>
      <c r="O11" s="25" t="s">
        <v>63</v>
      </c>
      <c r="P11" s="25" t="s">
        <v>72</v>
      </c>
      <c r="Q11" s="25" t="s">
        <v>63</v>
      </c>
      <c r="R11" s="25" t="s">
        <v>63</v>
      </c>
      <c r="S11" s="25" t="s">
        <v>63</v>
      </c>
      <c r="T11" s="25" t="s">
        <v>63</v>
      </c>
      <c r="U11" s="25" t="s">
        <v>63</v>
      </c>
      <c r="V11" s="25" t="s">
        <v>63</v>
      </c>
      <c r="W11" s="25" t="s">
        <v>72</v>
      </c>
      <c r="X11" s="25" t="s">
        <v>63</v>
      </c>
      <c r="Y11" s="25" t="s">
        <v>63</v>
      </c>
      <c r="Z11" s="25" t="s">
        <v>72</v>
      </c>
      <c r="AA11" s="25" t="s">
        <v>63</v>
      </c>
      <c r="AB11" s="25" t="s">
        <v>63</v>
      </c>
      <c r="AC11" s="25" t="s">
        <v>63</v>
      </c>
      <c r="AD11" s="25" t="s">
        <v>72</v>
      </c>
      <c r="AE11" s="25" t="s">
        <v>63</v>
      </c>
      <c r="AF11" s="25" t="s">
        <v>63</v>
      </c>
      <c r="AG11" s="25" t="s">
        <v>72</v>
      </c>
      <c r="AH11" s="7">
        <f t="shared" ca="1" si="0"/>
        <v>0</v>
      </c>
    </row>
    <row r="12" spans="2:34" ht="30" customHeight="1" x14ac:dyDescent="0.2">
      <c r="B12" t="str">
        <f>Werknemersnamen!B9</f>
        <v>Gultekin Muhammed A</v>
      </c>
      <c r="C12" s="25" t="s">
        <v>63</v>
      </c>
      <c r="D12" s="25" t="s">
        <v>63</v>
      </c>
      <c r="E12" s="25" t="s">
        <v>63</v>
      </c>
      <c r="F12" s="25" t="s">
        <v>63</v>
      </c>
      <c r="G12" s="25" t="s">
        <v>63</v>
      </c>
      <c r="H12" s="25" t="s">
        <v>63</v>
      </c>
      <c r="I12" s="25" t="s">
        <v>72</v>
      </c>
      <c r="J12" s="25" t="s">
        <v>63</v>
      </c>
      <c r="K12" s="25" t="s">
        <v>63</v>
      </c>
      <c r="L12" s="25" t="s">
        <v>63</v>
      </c>
      <c r="M12" s="25" t="s">
        <v>63</v>
      </c>
      <c r="N12" s="25" t="s">
        <v>63</v>
      </c>
      <c r="O12" s="25" t="s">
        <v>63</v>
      </c>
      <c r="P12" s="25" t="s">
        <v>72</v>
      </c>
      <c r="Q12" s="25" t="s">
        <v>63</v>
      </c>
      <c r="R12" s="25" t="s">
        <v>63</v>
      </c>
      <c r="S12" s="25" t="s">
        <v>63</v>
      </c>
      <c r="T12" s="25" t="s">
        <v>63</v>
      </c>
      <c r="U12" s="25" t="s">
        <v>63</v>
      </c>
      <c r="V12" s="25" t="s">
        <v>63</v>
      </c>
      <c r="W12" s="25" t="s">
        <v>72</v>
      </c>
      <c r="X12" s="25" t="s">
        <v>63</v>
      </c>
      <c r="Y12" s="25" t="s">
        <v>63</v>
      </c>
      <c r="Z12" s="25" t="s">
        <v>72</v>
      </c>
      <c r="AA12" s="25" t="s">
        <v>63</v>
      </c>
      <c r="AB12" s="25" t="s">
        <v>63</v>
      </c>
      <c r="AC12" s="25" t="s">
        <v>63</v>
      </c>
      <c r="AD12" s="25" t="s">
        <v>72</v>
      </c>
      <c r="AE12" s="25" t="s">
        <v>63</v>
      </c>
      <c r="AF12" s="25" t="s">
        <v>63</v>
      </c>
      <c r="AG12" s="25" t="s">
        <v>72</v>
      </c>
      <c r="AH12" s="7">
        <f t="shared" ca="1" si="0"/>
        <v>0</v>
      </c>
    </row>
    <row r="13" spans="2:34" ht="30" customHeight="1" x14ac:dyDescent="0.2">
      <c r="B13" t="str">
        <f>Werknemersnamen!B10</f>
        <v>Gultekin Muhammed E</v>
      </c>
      <c r="C13" s="25" t="s">
        <v>63</v>
      </c>
      <c r="D13" s="25" t="s">
        <v>63</v>
      </c>
      <c r="E13" s="25" t="s">
        <v>63</v>
      </c>
      <c r="F13" s="25" t="s">
        <v>63</v>
      </c>
      <c r="G13" s="25" t="s">
        <v>63</v>
      </c>
      <c r="H13" s="25" t="s">
        <v>63</v>
      </c>
      <c r="I13" s="25" t="s">
        <v>72</v>
      </c>
      <c r="J13" s="25" t="s">
        <v>63</v>
      </c>
      <c r="K13" s="25" t="s">
        <v>63</v>
      </c>
      <c r="L13" s="25" t="s">
        <v>63</v>
      </c>
      <c r="M13" s="25" t="s">
        <v>63</v>
      </c>
      <c r="N13" s="25" t="s">
        <v>63</v>
      </c>
      <c r="O13" s="25" t="s">
        <v>63</v>
      </c>
      <c r="P13" s="25" t="s">
        <v>72</v>
      </c>
      <c r="Q13" s="25" t="s">
        <v>63</v>
      </c>
      <c r="R13" s="25" t="s">
        <v>63</v>
      </c>
      <c r="S13" s="25" t="s">
        <v>63</v>
      </c>
      <c r="T13" s="25" t="s">
        <v>63</v>
      </c>
      <c r="U13" s="25" t="s">
        <v>63</v>
      </c>
      <c r="V13" s="25" t="s">
        <v>63</v>
      </c>
      <c r="W13" s="25" t="s">
        <v>72</v>
      </c>
      <c r="X13" s="25" t="s">
        <v>63</v>
      </c>
      <c r="Y13" s="25" t="s">
        <v>63</v>
      </c>
      <c r="Z13" s="25" t="s">
        <v>72</v>
      </c>
      <c r="AA13" s="25" t="s">
        <v>63</v>
      </c>
      <c r="AB13" s="25" t="s">
        <v>63</v>
      </c>
      <c r="AC13" s="25" t="s">
        <v>63</v>
      </c>
      <c r="AD13" s="25" t="s">
        <v>72</v>
      </c>
      <c r="AE13" s="25" t="s">
        <v>63</v>
      </c>
      <c r="AF13" s="25" t="s">
        <v>63</v>
      </c>
      <c r="AG13" s="25" t="s">
        <v>72</v>
      </c>
      <c r="AH13" s="7">
        <f t="shared" ca="1" si="0"/>
        <v>0</v>
      </c>
    </row>
    <row r="14" spans="2:34" ht="30" customHeight="1" x14ac:dyDescent="0.2">
      <c r="B14" t="str">
        <f>Werknemersnamen!B11</f>
        <v>Irakoze Patrick</v>
      </c>
      <c r="C14" s="25" t="s">
        <v>63</v>
      </c>
      <c r="D14" s="25" t="s">
        <v>63</v>
      </c>
      <c r="E14" s="25" t="s">
        <v>63</v>
      </c>
      <c r="F14" s="25" t="s">
        <v>63</v>
      </c>
      <c r="G14" s="25" t="s">
        <v>63</v>
      </c>
      <c r="H14" s="25" t="s">
        <v>63</v>
      </c>
      <c r="I14" s="25" t="s">
        <v>72</v>
      </c>
      <c r="J14" s="25" t="s">
        <v>63</v>
      </c>
      <c r="K14" s="25" t="s">
        <v>63</v>
      </c>
      <c r="L14" s="25" t="s">
        <v>63</v>
      </c>
      <c r="M14" s="25" t="s">
        <v>63</v>
      </c>
      <c r="N14" s="25" t="s">
        <v>63</v>
      </c>
      <c r="O14" s="25" t="s">
        <v>63</v>
      </c>
      <c r="P14" s="25" t="s">
        <v>72</v>
      </c>
      <c r="Q14" s="25" t="s">
        <v>63</v>
      </c>
      <c r="R14" s="25" t="s">
        <v>63</v>
      </c>
      <c r="S14" s="25" t="s">
        <v>63</v>
      </c>
      <c r="T14" s="25" t="s">
        <v>63</v>
      </c>
      <c r="U14" s="25" t="s">
        <v>63</v>
      </c>
      <c r="V14" s="25" t="s">
        <v>63</v>
      </c>
      <c r="W14" s="25" t="s">
        <v>72</v>
      </c>
      <c r="X14" s="25" t="s">
        <v>63</v>
      </c>
      <c r="Y14" s="25" t="s">
        <v>63</v>
      </c>
      <c r="Z14" s="25" t="s">
        <v>72</v>
      </c>
      <c r="AA14" s="25" t="s">
        <v>63</v>
      </c>
      <c r="AB14" s="25" t="s">
        <v>63</v>
      </c>
      <c r="AC14" s="25" t="s">
        <v>63</v>
      </c>
      <c r="AD14" s="25" t="s">
        <v>72</v>
      </c>
      <c r="AE14" s="25" t="s">
        <v>63</v>
      </c>
      <c r="AF14" s="25" t="s">
        <v>63</v>
      </c>
      <c r="AG14" s="25" t="s">
        <v>72</v>
      </c>
      <c r="AH14" s="7">
        <f t="shared" ca="1" si="0"/>
        <v>0</v>
      </c>
    </row>
    <row r="15" spans="2:34" ht="30" customHeight="1" x14ac:dyDescent="0.2">
      <c r="B15" t="str">
        <f>Werknemersnamen!B12</f>
        <v>Kacar Abdullah</v>
      </c>
      <c r="C15" s="25" t="s">
        <v>63</v>
      </c>
      <c r="D15" s="25" t="s">
        <v>63</v>
      </c>
      <c r="E15" s="25" t="s">
        <v>63</v>
      </c>
      <c r="F15" s="25" t="s">
        <v>63</v>
      </c>
      <c r="G15" s="25" t="s">
        <v>63</v>
      </c>
      <c r="H15" s="25" t="s">
        <v>63</v>
      </c>
      <c r="I15" s="25" t="s">
        <v>72</v>
      </c>
      <c r="J15" s="25" t="s">
        <v>63</v>
      </c>
      <c r="K15" s="25" t="s">
        <v>63</v>
      </c>
      <c r="L15" s="25" t="s">
        <v>63</v>
      </c>
      <c r="M15" s="25" t="s">
        <v>63</v>
      </c>
      <c r="N15" s="25" t="s">
        <v>63</v>
      </c>
      <c r="O15" s="25" t="s">
        <v>63</v>
      </c>
      <c r="P15" s="25" t="s">
        <v>72</v>
      </c>
      <c r="Q15" s="25" t="s">
        <v>63</v>
      </c>
      <c r="R15" s="25" t="s">
        <v>63</v>
      </c>
      <c r="S15" s="25" t="s">
        <v>63</v>
      </c>
      <c r="T15" s="25" t="s">
        <v>63</v>
      </c>
      <c r="U15" s="25" t="s">
        <v>63</v>
      </c>
      <c r="V15" s="25" t="s">
        <v>63</v>
      </c>
      <c r="W15" s="25" t="s">
        <v>72</v>
      </c>
      <c r="X15" s="25" t="s">
        <v>63</v>
      </c>
      <c r="Y15" s="25" t="s">
        <v>63</v>
      </c>
      <c r="Z15" s="25" t="s">
        <v>72</v>
      </c>
      <c r="AA15" s="25" t="s">
        <v>63</v>
      </c>
      <c r="AB15" s="25" t="s">
        <v>63</v>
      </c>
      <c r="AC15" s="25" t="s">
        <v>63</v>
      </c>
      <c r="AD15" s="25" t="s">
        <v>72</v>
      </c>
      <c r="AE15" s="25" t="s">
        <v>63</v>
      </c>
      <c r="AF15" s="25" t="s">
        <v>63</v>
      </c>
      <c r="AG15" s="25" t="s">
        <v>72</v>
      </c>
      <c r="AH15" s="7">
        <f t="shared" ca="1" si="0"/>
        <v>0</v>
      </c>
    </row>
    <row r="16" spans="2:34" ht="30" customHeight="1" x14ac:dyDescent="0.2">
      <c r="B16" t="str">
        <f>Werknemersnamen!B13</f>
        <v>Kefes Levent</v>
      </c>
      <c r="C16" s="25" t="s">
        <v>63</v>
      </c>
      <c r="D16" s="25" t="s">
        <v>63</v>
      </c>
      <c r="E16" s="25" t="s">
        <v>63</v>
      </c>
      <c r="F16" s="25" t="s">
        <v>63</v>
      </c>
      <c r="G16" s="25" t="s">
        <v>63</v>
      </c>
      <c r="H16" s="25" t="s">
        <v>63</v>
      </c>
      <c r="I16" s="25" t="s">
        <v>72</v>
      </c>
      <c r="J16" s="25" t="s">
        <v>63</v>
      </c>
      <c r="K16" s="25" t="s">
        <v>63</v>
      </c>
      <c r="L16" s="25" t="s">
        <v>63</v>
      </c>
      <c r="M16" s="25" t="s">
        <v>63</v>
      </c>
      <c r="N16" s="25" t="s">
        <v>63</v>
      </c>
      <c r="O16" s="25" t="s">
        <v>63</v>
      </c>
      <c r="P16" s="25" t="s">
        <v>72</v>
      </c>
      <c r="Q16" s="25" t="s">
        <v>63</v>
      </c>
      <c r="R16" s="25" t="s">
        <v>63</v>
      </c>
      <c r="S16" s="25" t="s">
        <v>63</v>
      </c>
      <c r="T16" s="25" t="s">
        <v>63</v>
      </c>
      <c r="U16" s="25" t="s">
        <v>63</v>
      </c>
      <c r="V16" s="25" t="s">
        <v>63</v>
      </c>
      <c r="W16" s="25" t="s">
        <v>72</v>
      </c>
      <c r="X16" s="25" t="s">
        <v>63</v>
      </c>
      <c r="Y16" s="25" t="s">
        <v>63</v>
      </c>
      <c r="Z16" s="25" t="s">
        <v>72</v>
      </c>
      <c r="AA16" s="25" t="s">
        <v>63</v>
      </c>
      <c r="AB16" s="25" t="s">
        <v>63</v>
      </c>
      <c r="AC16" s="25" t="s">
        <v>63</v>
      </c>
      <c r="AD16" s="25" t="s">
        <v>72</v>
      </c>
      <c r="AE16" s="25" t="s">
        <v>63</v>
      </c>
      <c r="AF16" s="25" t="s">
        <v>63</v>
      </c>
      <c r="AG16" s="25" t="s">
        <v>72</v>
      </c>
      <c r="AH16" s="7">
        <f t="shared" ca="1" si="0"/>
        <v>0</v>
      </c>
    </row>
    <row r="17" spans="2:34" ht="30" customHeight="1" x14ac:dyDescent="0.2">
      <c r="B17" t="str">
        <f>Werknemersnamen!B14</f>
        <v>Moualdine Ali</v>
      </c>
      <c r="C17" s="25" t="s">
        <v>63</v>
      </c>
      <c r="D17" s="25" t="s">
        <v>63</v>
      </c>
      <c r="E17" s="25" t="s">
        <v>63</v>
      </c>
      <c r="F17" s="25" t="s">
        <v>63</v>
      </c>
      <c r="G17" s="25" t="s">
        <v>63</v>
      </c>
      <c r="H17" s="25" t="s">
        <v>63</v>
      </c>
      <c r="I17" s="25" t="s">
        <v>72</v>
      </c>
      <c r="J17" s="25" t="s">
        <v>63</v>
      </c>
      <c r="K17" s="25" t="s">
        <v>63</v>
      </c>
      <c r="L17" s="25" t="s">
        <v>63</v>
      </c>
      <c r="M17" s="25" t="s">
        <v>63</v>
      </c>
      <c r="N17" s="25" t="s">
        <v>63</v>
      </c>
      <c r="O17" s="25" t="s">
        <v>63</v>
      </c>
      <c r="P17" s="25" t="s">
        <v>72</v>
      </c>
      <c r="Q17" s="25" t="s">
        <v>63</v>
      </c>
      <c r="R17" s="25" t="s">
        <v>63</v>
      </c>
      <c r="S17" s="25" t="s">
        <v>63</v>
      </c>
      <c r="T17" s="25" t="s">
        <v>63</v>
      </c>
      <c r="U17" s="25" t="s">
        <v>63</v>
      </c>
      <c r="V17" s="25" t="s">
        <v>63</v>
      </c>
      <c r="W17" s="25" t="s">
        <v>72</v>
      </c>
      <c r="X17" s="25" t="s">
        <v>63</v>
      </c>
      <c r="Y17" s="25" t="s">
        <v>63</v>
      </c>
      <c r="Z17" s="25" t="s">
        <v>72</v>
      </c>
      <c r="AA17" s="25" t="s">
        <v>63</v>
      </c>
      <c r="AB17" s="25" t="s">
        <v>63</v>
      </c>
      <c r="AC17" s="25" t="s">
        <v>63</v>
      </c>
      <c r="AD17" s="25" t="s">
        <v>72</v>
      </c>
      <c r="AE17" s="25" t="s">
        <v>63</v>
      </c>
      <c r="AF17" s="25" t="s">
        <v>63</v>
      </c>
      <c r="AG17" s="25" t="s">
        <v>72</v>
      </c>
      <c r="AH17" s="7">
        <f t="shared" ca="1" si="0"/>
        <v>0</v>
      </c>
    </row>
    <row r="18" spans="2:34" ht="30" customHeight="1" x14ac:dyDescent="0.2">
      <c r="B18">
        <f>Werknemersnamen!B15</f>
        <v>0</v>
      </c>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7">
        <f t="shared" ca="1" si="0"/>
        <v>0</v>
      </c>
    </row>
    <row r="19" spans="2:34" ht="30" customHeight="1" x14ac:dyDescent="0.2">
      <c r="B19" s="16"/>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2:34" ht="30" customHeight="1" x14ac:dyDescent="0.2">
      <c r="B20" t="s">
        <v>92</v>
      </c>
      <c r="C20">
        <f>SUM($C$7:$C$19)</f>
        <v>0</v>
      </c>
      <c r="D20">
        <f>SUM($D$7:$D$19)</f>
        <v>0</v>
      </c>
      <c r="E20">
        <f>SUM($E$7:$E$19)</f>
        <v>0</v>
      </c>
      <c r="F20">
        <f>SUM($F$7:$F$19)</f>
        <v>0</v>
      </c>
      <c r="G20">
        <f>SUM($G$7:$G$19)</f>
        <v>0</v>
      </c>
      <c r="H20">
        <f>SUM($H$7:$H$19)</f>
        <v>0</v>
      </c>
      <c r="I20">
        <f>SUM($I$7:$I$19)</f>
        <v>0</v>
      </c>
      <c r="J20">
        <f>SUM($J$7:$J$19)</f>
        <v>0</v>
      </c>
      <c r="K20">
        <f>SUM($K$7:$K$19)</f>
        <v>0</v>
      </c>
      <c r="L20">
        <f>SUM($L$7:$L$19)</f>
        <v>0</v>
      </c>
      <c r="M20">
        <f>SUM($M$7:$M$19)</f>
        <v>0</v>
      </c>
      <c r="N20">
        <f>SUM($N$7:$N$19)</f>
        <v>0</v>
      </c>
      <c r="O20">
        <f>SUM($O$7:$O$19)</f>
        <v>0</v>
      </c>
      <c r="P20">
        <f>SUM($P$7:$P$19)</f>
        <v>0</v>
      </c>
      <c r="Q20">
        <f>SUM($Q$7:$Q$19)</f>
        <v>0</v>
      </c>
      <c r="R20">
        <f>SUM($R$7:$R$19)</f>
        <v>0</v>
      </c>
      <c r="S20">
        <f>SUM($S$7:$S$19)</f>
        <v>0</v>
      </c>
      <c r="T20">
        <f>SUM($T$7:$T$19)</f>
        <v>0</v>
      </c>
      <c r="U20">
        <f>SUM($U$7:$U$19)</f>
        <v>0</v>
      </c>
      <c r="V20">
        <f>SUM($V$7:$V$19)</f>
        <v>0</v>
      </c>
      <c r="W20">
        <f>SUM($W$7:$W$19)</f>
        <v>0</v>
      </c>
      <c r="X20">
        <f>SUM($X$7:$X$19)</f>
        <v>0</v>
      </c>
      <c r="Y20">
        <f>SUM($Y$7:$Y$19)</f>
        <v>0</v>
      </c>
      <c r="Z20">
        <f>SUM($Z$7:$Z$19)</f>
        <v>0</v>
      </c>
      <c r="AA20">
        <f>SUM($AA$7:$AA$19)</f>
        <v>0</v>
      </c>
      <c r="AB20">
        <f>SUM($AB$7:$AB$19)</f>
        <v>0</v>
      </c>
      <c r="AC20">
        <f>SUM($AC$7:$AC$19)</f>
        <v>0</v>
      </c>
      <c r="AD20">
        <f>SUM($AD$7:$AD$19)</f>
        <v>0</v>
      </c>
      <c r="AE20">
        <f>SUM($AE$7:$AE$19)</f>
        <v>0</v>
      </c>
      <c r="AF20">
        <f>SUM($AF$7:$AF$19)</f>
        <v>0</v>
      </c>
      <c r="AG20">
        <f>SUM($AG$7:$AG$19)</f>
        <v>0</v>
      </c>
      <c r="AH20" s="24">
        <f ca="1">SUM($AH$7:$AH$19)</f>
        <v>0</v>
      </c>
    </row>
  </sheetData>
  <mergeCells count="6">
    <mergeCell ref="C4:AG4"/>
    <mergeCell ref="D2:F2"/>
    <mergeCell ref="H2:J2"/>
    <mergeCell ref="L2:M2"/>
    <mergeCell ref="O2:Q2"/>
    <mergeCell ref="S2:U2"/>
  </mergeCells>
  <phoneticPr fontId="18" type="noConversion"/>
  <conditionalFormatting sqref="C7:AG18">
    <cfRule type="expression" priority="1" stopIfTrue="1">
      <formula>C7=""</formula>
    </cfRule>
    <cfRule type="expression" dxfId="74" priority="2" stopIfTrue="1">
      <formula>C7=KeyCustom2</formula>
    </cfRule>
    <cfRule type="expression" dxfId="73" priority="3" stopIfTrue="1">
      <formula>C7=KeyCustom1</formula>
    </cfRule>
    <cfRule type="expression" dxfId="72" priority="4" stopIfTrue="1">
      <formula>C7=KeySick</formula>
    </cfRule>
    <cfRule type="expression" dxfId="71" priority="5" stopIfTrue="1">
      <formula>C7=KeyPersonal</formula>
    </cfRule>
    <cfRule type="expression" dxfId="70" priority="6" stopIfTrue="1">
      <formula>C7=KeyVacation</formula>
    </cfRule>
  </conditionalFormatting>
  <conditionalFormatting sqref="AH7:AH18">
    <cfRule type="dataBar" priority="7">
      <dataBar>
        <cfvo type="num" val="0"/>
        <cfvo type="num" val="31"/>
        <color theme="2" tint="-0.249977111117893"/>
      </dataBar>
      <extLst>
        <ext xmlns:x14="http://schemas.microsoft.com/office/spreadsheetml/2009/9/main" uri="{B025F937-C7B1-47D3-B67F-A62EFF666E3E}">
          <x14:id>{67BBF2CD-169E-D241-B077-1F419C0EE749}</x14:id>
        </ext>
      </extLst>
    </cfRule>
  </conditionalFormatting>
  <dataValidations count="13">
    <dataValidation allowBlank="1" showInputMessage="1" showErrorMessage="1" prompt="Houd de afwezigheid in december in dit werkblad bij" sqref="A1" xr:uid="{00000000-0002-0000-0B00-000002000000}"/>
    <dataValidation errorStyle="warning" allowBlank="1" showInputMessage="1" showErrorMessage="1" error="Selecteer een naam in de lijst. Selecteer ANNULEREN, druk dan op ALT+PIJL-OMLAAG en vervolgens op ENTER om een naam te selecteren" prompt="Voer de werknemersnamen in het Werknemersnamen werkblad en selecteer vervolgens een van die namen van de lijst in deze kolom. Druk op ALT+PIJL-OMLAAG en daarna ENTER om een naam te selecteren" sqref="B6" xr:uid="{DB849BAE-9C19-1E4F-9C68-A92A6BBDDE93}"/>
    <dataValidation allowBlank="1" showInputMessage="1" showErrorMessage="1" prompt="De titel wordt automatisch bijgewerkt in deze cel. Als u de titel wilt wijzigen, werk B1 in het januari-werkblad bij" sqref="B1" xr:uid="{00000000-0002-0000-0B00-000004000000}"/>
    <dataValidation allowBlank="1" showInputMessage="1" showErrorMessage="1" prompt="De letter &quot;V&quot; geeft afwezigheid vanwege vakantie aan" sqref="C2" xr:uid="{00000000-0002-0000-0B00-000005000000}"/>
    <dataValidation allowBlank="1" showInputMessage="1" showErrorMessage="1" prompt="De letter &quot;P&quot; geeft afwezigheid vanwege persoonlijke redenen aan" sqref="G2" xr:uid="{00000000-0002-0000-0B00-000006000000}"/>
    <dataValidation allowBlank="1" showInputMessage="1" showErrorMessage="1" prompt="De letter &quot;Z&quot; geeft afwezigheid vanwege ziekte aan" sqref="K2" xr:uid="{00000000-0002-0000-0B00-000007000000}"/>
    <dataValidation allowBlank="1" showInputMessage="1" showErrorMessage="1" prompt="Voer een letter in en pas rechts het label aan om een ander sleutelitem toe te voegen" sqref="N2 R2" xr:uid="{00000000-0002-0000-0B00-000008000000}"/>
    <dataValidation allowBlank="1" showInputMessage="1" showErrorMessage="1" prompt="Voer links een label in om de aangepaste sleutel te beschrijven" sqref="O2:Q2 S2:U2" xr:uid="{00000000-0002-0000-0B00-000009000000}"/>
    <dataValidation allowBlank="1" showInputMessage="1" showErrorMessage="1" prompt="Deze rij definieert de sleutels die worden gebruikt in de tabel: cel C2 is Vakantie, G2 is Persoonlijk en K2 is Ziekteverlof. De cellen N2 en R2 kunnen worden aangepast" sqref="B2" xr:uid="{00000000-0002-0000-0B00-00000A000000}"/>
    <dataValidation allowBlank="1" showInputMessage="1" showErrorMessage="1" prompt="De dagen van de maand in deze rij worden automatisch gegenereerd. Voer voor elke dag van de maand in elke kolom het verzuim en het type verzuim van een werknemer in. Leeg betekent geen verzuim" sqref="C6" xr:uid="{1BD78F50-C6B4-4849-9C53-ACB22F9E0D38}"/>
    <dataValidation allowBlank="1" showInputMessage="1" showErrorMessage="1" prompt="Maand van dit verzuimschema. Werk het jaar bij in cel AH4. Houd de totalen bij per maand in de laatste cel van de tabel. Namen van werknemers invoeren in tabelkolom B" sqref="B4" xr:uid="{FB35A841-A468-CF4C-8E25-06F38F9ACC1E}"/>
    <dataValidation allowBlank="1" showInputMessage="1" showErrorMessage="1" prompt="Berekent automatisch het totaal aantal dagen dat een werknemer in deze maand niet afwezig was" sqref="AH6" xr:uid="{5BFC7138-451F-244F-B863-56D668B3703A}"/>
    <dataValidation allowBlank="1" showInputMessage="1" showErrorMessage="1" prompt="Voer het jaar in deze cel in" sqref="AH4" xr:uid="{AEE05905-8B8C-3044-8640-7F16EC2FEE62}"/>
  </dataValidations>
  <printOptions horizontalCentered="1"/>
  <pageMargins left="0.25" right="0.25" top="0.75" bottom="0.75" header="0.3" footer="0.3"/>
  <pageSetup paperSize="9" scale="72" fitToHeight="0" orientation="landscape"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67BBF2CD-169E-D241-B077-1F419C0EE749}">
            <x14:dataBar minLength="0" maxLength="100">
              <x14:cfvo type="num">
                <xm:f>0</xm:f>
              </x14:cfvo>
              <x14:cfvo type="num">
                <xm:f>31</xm:f>
              </x14:cfvo>
              <x14:negativeFillColor rgb="FFFF0000"/>
              <x14:axisColor rgb="FF000000"/>
            </x14:dataBar>
          </x14:cfRule>
          <xm:sqref>AH7:AH18</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tabColor theme="1"/>
  </sheetPr>
  <dimension ref="B1:B16"/>
  <sheetViews>
    <sheetView showGridLines="0" workbookViewId="0">
      <selection activeCell="B4" sqref="B4"/>
    </sheetView>
  </sheetViews>
  <sheetFormatPr baseColWidth="10" defaultColWidth="8.83203125" defaultRowHeight="30" customHeight="1" x14ac:dyDescent="0.2"/>
  <cols>
    <col min="1" max="1" width="2.6640625" customWidth="1"/>
    <col min="2" max="2" width="30.6640625" customWidth="1"/>
    <col min="3" max="3" width="2.6640625" customWidth="1"/>
  </cols>
  <sheetData>
    <row r="1" spans="2:2" ht="50" customHeight="1" x14ac:dyDescent="0.2">
      <c r="B1" s="17" t="s">
        <v>53</v>
      </c>
    </row>
    <row r="2" spans="2:2" ht="15" customHeight="1" x14ac:dyDescent="0.2"/>
    <row r="3" spans="2:2" ht="30" customHeight="1" x14ac:dyDescent="0.2">
      <c r="B3" t="s">
        <v>53</v>
      </c>
    </row>
    <row r="4" spans="2:2" ht="30" customHeight="1" x14ac:dyDescent="0.2">
      <c r="B4" t="s">
        <v>61</v>
      </c>
    </row>
    <row r="5" spans="2:2" ht="30" customHeight="1" x14ac:dyDescent="0.2">
      <c r="B5" t="s">
        <v>57</v>
      </c>
    </row>
    <row r="6" spans="2:2" ht="30" customHeight="1" x14ac:dyDescent="0.2">
      <c r="B6" s="18" t="s">
        <v>69</v>
      </c>
    </row>
    <row r="7" spans="2:2" ht="30" customHeight="1" x14ac:dyDescent="0.2">
      <c r="B7" s="19" t="s">
        <v>71</v>
      </c>
    </row>
    <row r="8" spans="2:2" ht="30" customHeight="1" x14ac:dyDescent="0.2">
      <c r="B8" t="s">
        <v>60</v>
      </c>
    </row>
    <row r="9" spans="2:2" ht="30" customHeight="1" x14ac:dyDescent="0.2">
      <c r="B9" t="s">
        <v>66</v>
      </c>
    </row>
    <row r="10" spans="2:2" ht="30" customHeight="1" x14ac:dyDescent="0.2">
      <c r="B10" t="s">
        <v>65</v>
      </c>
    </row>
    <row r="11" spans="2:2" ht="30" customHeight="1" x14ac:dyDescent="0.2">
      <c r="B11" t="s">
        <v>59</v>
      </c>
    </row>
    <row r="12" spans="2:2" ht="30" customHeight="1" x14ac:dyDescent="0.2">
      <c r="B12" t="s">
        <v>56</v>
      </c>
    </row>
    <row r="13" spans="2:2" ht="30" customHeight="1" x14ac:dyDescent="0.2">
      <c r="B13" t="s">
        <v>58</v>
      </c>
    </row>
    <row r="14" spans="2:2" ht="30" customHeight="1" x14ac:dyDescent="0.2">
      <c r="B14" s="18" t="s">
        <v>70</v>
      </c>
    </row>
    <row r="16" spans="2:2" ht="30" customHeight="1" x14ac:dyDescent="0.2">
      <c r="B16" s="23"/>
    </row>
  </sheetData>
  <phoneticPr fontId="18" type="noConversion"/>
  <dataValidations count="3">
    <dataValidation allowBlank="1" showInputMessage="1" showErrorMessage="1" prompt="Titel werknemersnamen" sqref="B1" xr:uid="{00000000-0002-0000-0C00-000000000000}"/>
    <dataValidation allowBlank="1" showInputMessage="1" showErrorMessage="1" prompt="Voer namen van werknemers in de tabel werknemersnaam in dit werkblad in. Deze namen worden als opties gebruikt in kolom B van de verzuimtabel van elke maand." sqref="A1" xr:uid="{00000000-0002-0000-0C00-000001000000}"/>
    <dataValidation allowBlank="1" showInputMessage="1" showErrorMessage="1" prompt="Voer de werknemersnamen in deze kolom in" sqref="B3" xr:uid="{00000000-0002-0000-0C00-000002000000}"/>
  </dataValidations>
  <pageMargins left="0.7" right="0.7" top="0.75" bottom="0.75" header="0.3" footer="0.3"/>
  <pageSetup paperSize="9" orientation="portrait" horizontalDpi="200" verticalDpi="200" r:id="rId1"/>
  <tableParts count="1">
    <tablePart r:id="rId2"/>
  </tableParts>
</worksheet>
</file>

<file path=docProps/app.xml><?xml version="1.0" encoding="utf-8"?>
<Properties xmlns="http://schemas.openxmlformats.org/officeDocument/2006/extended-properties" xmlns:vt="http://schemas.openxmlformats.org/officeDocument/2006/docPropsVTypes">
  <Template>TM03987167</Template>
  <Application>Microsoft Macintosh Excel</Application>
  <DocSecurity>0</DocSecurity>
  <ScaleCrop>false</ScaleCrop>
  <HeadingPairs>
    <vt:vector size="4" baseType="variant">
      <vt:variant>
        <vt:lpstr>Werkbladen</vt:lpstr>
      </vt:variant>
      <vt:variant>
        <vt:i4>13</vt:i4>
      </vt:variant>
      <vt:variant>
        <vt:lpstr>Benoemde bereiken</vt:lpstr>
      </vt:variant>
      <vt:variant>
        <vt:i4>48</vt:i4>
      </vt:variant>
    </vt:vector>
  </HeadingPairs>
  <TitlesOfParts>
    <vt:vector size="61" baseType="lpstr">
      <vt:lpstr>Januari</vt:lpstr>
      <vt:lpstr>Februari</vt:lpstr>
      <vt:lpstr>Maart</vt:lpstr>
      <vt:lpstr>April</vt:lpstr>
      <vt:lpstr>Mei</vt:lpstr>
      <vt:lpstr>Juni</vt:lpstr>
      <vt:lpstr>Juli</vt:lpstr>
      <vt:lpstr>Augustus</vt:lpstr>
      <vt:lpstr>September</vt:lpstr>
      <vt:lpstr>Oktober</vt:lpstr>
      <vt:lpstr>November</vt:lpstr>
      <vt:lpstr>December</vt:lpstr>
      <vt:lpstr>Werknemersnamen</vt:lpstr>
      <vt:lpstr>April!Afdruktitels</vt:lpstr>
      <vt:lpstr>Augustus!Afdruktitels</vt:lpstr>
      <vt:lpstr>December!Afdruktitels</vt:lpstr>
      <vt:lpstr>Februari!Afdruktitels</vt:lpstr>
      <vt:lpstr>Januari!Afdruktitels</vt:lpstr>
      <vt:lpstr>Juli!Afdruktitels</vt:lpstr>
      <vt:lpstr>Juni!Afdruktitels</vt:lpstr>
      <vt:lpstr>Maart!Afdruktitels</vt:lpstr>
      <vt:lpstr>Mei!Afdruktitels</vt:lpstr>
      <vt:lpstr>November!Afdruktitels</vt:lpstr>
      <vt:lpstr>Oktober!Afdruktitels</vt:lpstr>
      <vt:lpstr>September!Afdruktitels</vt:lpstr>
      <vt:lpstr>CalendarYear</vt:lpstr>
      <vt:lpstr>ColumnTitle13</vt:lpstr>
      <vt:lpstr>Employee_Absence_Title</vt:lpstr>
      <vt:lpstr>Key_name</vt:lpstr>
      <vt:lpstr>KeyCustom1</vt:lpstr>
      <vt:lpstr>KeyCustom1Label</vt:lpstr>
      <vt:lpstr>KeyCustom2</vt:lpstr>
      <vt:lpstr>KeyCustom2Label</vt:lpstr>
      <vt:lpstr>KeyPersonal</vt:lpstr>
      <vt:lpstr>KeyPersonalLabel</vt:lpstr>
      <vt:lpstr>KeySick</vt:lpstr>
      <vt:lpstr>KeySickLabel</vt:lpstr>
      <vt:lpstr>KeyVacation</vt:lpstr>
      <vt:lpstr>KeyVacationLabel</vt:lpstr>
      <vt:lpstr>April!MonthName</vt:lpstr>
      <vt:lpstr>Augustus!MonthName</vt:lpstr>
      <vt:lpstr>December!MonthName</vt:lpstr>
      <vt:lpstr>Februari!MonthName</vt:lpstr>
      <vt:lpstr>Januari!MonthName</vt:lpstr>
      <vt:lpstr>Juli!MonthName</vt:lpstr>
      <vt:lpstr>Juni!MonthName</vt:lpstr>
      <vt:lpstr>Maart!MonthName</vt:lpstr>
      <vt:lpstr>Mei!MonthName</vt:lpstr>
      <vt:lpstr>November!MonthName</vt:lpstr>
      <vt:lpstr>Oktober!MonthName</vt:lpstr>
      <vt:lpstr>September!MonthName</vt:lpstr>
      <vt:lpstr>Titel1</vt:lpstr>
      <vt:lpstr>Titel10</vt:lpstr>
      <vt:lpstr>Titel11</vt:lpstr>
      <vt:lpstr>Titel12</vt:lpstr>
      <vt:lpstr>Titel2</vt:lpstr>
      <vt:lpstr>Titel3</vt:lpstr>
      <vt:lpstr>Titel4</vt:lpstr>
      <vt:lpstr>Titel7</vt:lpstr>
      <vt:lpstr>Titel8</vt:lpstr>
      <vt:lpstr>Titel9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Abdullah Gultekin</dc:creator>
  <cp:lastModifiedBy>Abdullah Gultekin</cp:lastModifiedBy>
  <dcterms:created xsi:type="dcterms:W3CDTF">2016-12-06T04:52:27Z</dcterms:created>
  <dcterms:modified xsi:type="dcterms:W3CDTF">2025-12-18T15:37:19Z</dcterms:modified>
</cp:coreProperties>
</file>