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f64b811df2eee0/Bureaublad/Ontvangsten/ONTVANGSTEN 2019-2025/"/>
    </mc:Choice>
  </mc:AlternateContent>
  <xr:revisionPtr revIDLastSave="1252" documentId="13_ncr:1_{A613D713-03A8-4F49-AFE0-43B0F51354D2}" xr6:coauthVersionLast="47" xr6:coauthVersionMax="47" xr10:uidLastSave="{F87DE756-B452-4AF8-9C7A-C1E3D6E4FA38}"/>
  <bookViews>
    <workbookView xWindow="28680" yWindow="-120" windowWidth="29040" windowHeight="15720" activeTab="11" xr2:uid="{297C082F-D561-4D32-B35C-475C634DB4E7}"/>
  </bookViews>
  <sheets>
    <sheet name="Januari" sheetId="1" r:id="rId1"/>
    <sheet name="Februari" sheetId="2" r:id="rId2"/>
    <sheet name="Maart" sheetId="3" r:id="rId3"/>
    <sheet name="April" sheetId="4" r:id="rId4"/>
    <sheet name="Mei" sheetId="5" r:id="rId5"/>
    <sheet name="Juni" sheetId="6" r:id="rId6"/>
    <sheet name="Juli" sheetId="7" r:id="rId7"/>
    <sheet name="Augustus" sheetId="8" r:id="rId8"/>
    <sheet name="September" sheetId="9" r:id="rId9"/>
    <sheet name="Oktober" sheetId="10" r:id="rId10"/>
    <sheet name="November" sheetId="11" r:id="rId11"/>
    <sheet name="December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2" l="1"/>
  <c r="F38" i="12" s="1"/>
  <c r="E37" i="12"/>
  <c r="E38" i="12" s="1"/>
  <c r="E39" i="12" s="1"/>
  <c r="D37" i="12"/>
  <c r="D38" i="12" s="1"/>
  <c r="F37" i="11"/>
  <c r="F38" i="11" s="1"/>
  <c r="E37" i="11"/>
  <c r="E38" i="11" s="1"/>
  <c r="E39" i="11" s="1"/>
  <c r="D37" i="11"/>
  <c r="D38" i="11" s="1"/>
  <c r="F37" i="10"/>
  <c r="F38" i="10" s="1"/>
  <c r="E37" i="10"/>
  <c r="E38" i="10" s="1"/>
  <c r="E39" i="10" s="1"/>
  <c r="D37" i="10"/>
  <c r="D38" i="10" s="1"/>
  <c r="F37" i="9"/>
  <c r="F38" i="9" s="1"/>
  <c r="E37" i="9"/>
  <c r="E38" i="9" s="1"/>
  <c r="E39" i="9" s="1"/>
  <c r="D37" i="9"/>
  <c r="D38" i="9" s="1"/>
  <c r="F37" i="8"/>
  <c r="F38" i="8" s="1"/>
  <c r="E37" i="8"/>
  <c r="E38" i="8" s="1"/>
  <c r="D37" i="8"/>
  <c r="D38" i="8" s="1"/>
  <c r="D39" i="8" s="1"/>
  <c r="F37" i="7"/>
  <c r="F38" i="7" s="1"/>
  <c r="E37" i="7"/>
  <c r="E38" i="7" s="1"/>
  <c r="D37" i="7"/>
  <c r="D38" i="7" s="1"/>
  <c r="D39" i="7" s="1"/>
  <c r="F37" i="6"/>
  <c r="F38" i="6" s="1"/>
  <c r="E37" i="6"/>
  <c r="E38" i="6" s="1"/>
  <c r="E39" i="6" s="1"/>
  <c r="D37" i="6"/>
  <c r="D38" i="6" s="1"/>
  <c r="F37" i="5"/>
  <c r="F38" i="5" s="1"/>
  <c r="F39" i="5" s="1"/>
  <c r="E37" i="5"/>
  <c r="E38" i="5" s="1"/>
  <c r="D37" i="5"/>
  <c r="D38" i="5" s="1"/>
  <c r="D39" i="5" s="1"/>
  <c r="D40" i="5" s="1"/>
  <c r="F37" i="4"/>
  <c r="F38" i="4" s="1"/>
  <c r="E37" i="4"/>
  <c r="E38" i="4" s="1"/>
  <c r="D37" i="4"/>
  <c r="D38" i="4" s="1"/>
  <c r="F37" i="3"/>
  <c r="F38" i="3" s="1"/>
  <c r="E37" i="3"/>
  <c r="E38" i="3" s="1"/>
  <c r="E39" i="3" s="1"/>
  <c r="D37" i="3"/>
  <c r="D38" i="3" s="1"/>
  <c r="F37" i="2"/>
  <c r="F38" i="2" s="1"/>
  <c r="E37" i="2"/>
  <c r="E38" i="2" s="1"/>
  <c r="E39" i="2" s="1"/>
  <c r="E40" i="2" s="1"/>
  <c r="D37" i="2"/>
  <c r="D38" i="2" s="1"/>
  <c r="F37" i="1"/>
  <c r="F38" i="1" s="1"/>
  <c r="E37" i="1"/>
  <c r="E38" i="1" s="1"/>
  <c r="D37" i="1"/>
  <c r="D38" i="1" s="1"/>
  <c r="D39" i="1" s="1"/>
  <c r="F39" i="12" l="1"/>
  <c r="F40" i="12" s="1"/>
  <c r="F39" i="2"/>
  <c r="F40" i="2" s="1"/>
  <c r="F39" i="10"/>
  <c r="F40" i="10" s="1"/>
  <c r="E39" i="8"/>
  <c r="E40" i="8" s="1"/>
  <c r="D39" i="12"/>
  <c r="D40" i="12" s="1"/>
  <c r="E40" i="12"/>
  <c r="D39" i="11"/>
  <c r="D40" i="11" s="1"/>
  <c r="F39" i="11"/>
  <c r="F40" i="11" s="1"/>
  <c r="E40" i="11"/>
  <c r="D39" i="10"/>
  <c r="D40" i="10" s="1"/>
  <c r="E40" i="10"/>
  <c r="D39" i="9"/>
  <c r="D40" i="9" s="1"/>
  <c r="F39" i="9"/>
  <c r="F40" i="9" s="1"/>
  <c r="E40" i="9"/>
  <c r="F39" i="8"/>
  <c r="F40" i="8" s="1"/>
  <c r="D40" i="8"/>
  <c r="E39" i="7"/>
  <c r="E40" i="7" s="1"/>
  <c r="F39" i="7"/>
  <c r="F40" i="7" s="1"/>
  <c r="D40" i="7"/>
  <c r="D39" i="6"/>
  <c r="D40" i="6" s="1"/>
  <c r="F39" i="6"/>
  <c r="F40" i="6" s="1"/>
  <c r="E40" i="6"/>
  <c r="E39" i="5"/>
  <c r="E40" i="5" s="1"/>
  <c r="F40" i="5"/>
  <c r="E39" i="4"/>
  <c r="E40" i="4" s="1"/>
  <c r="D39" i="4"/>
  <c r="D40" i="4" s="1"/>
  <c r="F39" i="4"/>
  <c r="F40" i="4" s="1"/>
  <c r="D39" i="3"/>
  <c r="D40" i="3" s="1"/>
  <c r="F39" i="3"/>
  <c r="F40" i="3" s="1"/>
  <c r="E40" i="3"/>
  <c r="D39" i="2"/>
  <c r="D40" i="2" s="1"/>
  <c r="F39" i="1"/>
  <c r="F40" i="1" s="1"/>
  <c r="E39" i="1"/>
  <c r="E40" i="1" s="1"/>
  <c r="D40" i="1"/>
  <c r="C37" i="12"/>
  <c r="C37" i="11"/>
  <c r="C37" i="10"/>
  <c r="C37" i="9"/>
  <c r="C37" i="8"/>
  <c r="C37" i="7"/>
  <c r="C37" i="6"/>
  <c r="C37" i="5"/>
  <c r="C37" i="4"/>
  <c r="C37" i="3"/>
  <c r="C37" i="2"/>
  <c r="C37" i="1" l="1"/>
</calcChain>
</file>

<file path=xl/sharedStrings.xml><?xml version="1.0" encoding="utf-8"?>
<sst xmlns="http://schemas.openxmlformats.org/spreadsheetml/2006/main" count="84" uniqueCount="5">
  <si>
    <t>Totaal</t>
  </si>
  <si>
    <t>Ex Tot</t>
  </si>
  <si>
    <t>Btw</t>
  </si>
  <si>
    <t>Datum</t>
  </si>
  <si>
    <t>Ontvangsten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</si>
</sst>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3]dd\ mmm\ 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6" tint="0.7999816888943144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2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164" fontId="3" fillId="6" borderId="2" xfId="0" applyNumberFormat="1" applyFont="1" applyFill="1" applyBorder="1" applyAlignment="1">
      <alignment horizontal="center" shrinkToFit="1"/>
    </xf>
    <xf numFmtId="0" fontId="4" fillId="4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8" borderId="2" xfId="0" applyNumberFormat="1" applyFill="1" applyBorder="1" applyAlignment="1">
      <alignment horizontal="center"/>
    </xf>
    <xf numFmtId="2" fontId="0" fillId="9" borderId="2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 shrinkToFit="1"/>
    </xf>
    <xf numFmtId="164" fontId="0" fillId="5" borderId="3" xfId="0" applyNumberFormat="1" applyFill="1" applyBorder="1" applyAlignment="1">
      <alignment horizontal="center" shrinkToFit="1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57150</xdr:rowOff>
    </xdr:from>
    <xdr:to>
      <xdr:col>1</xdr:col>
      <xdr:colOff>152399</xdr:colOff>
      <xdr:row>3</xdr:row>
      <xdr:rowOff>114300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68505AFB-D398-48D4-9E81-5649360E3C06}"/>
            </a:ext>
          </a:extLst>
        </xdr:cNvPr>
        <xdr:cNvSpPr txBox="1"/>
      </xdr:nvSpPr>
      <xdr:spPr>
        <a:xfrm>
          <a:off x="47624" y="57150"/>
          <a:ext cx="1152525" cy="62865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rgbClr val="FF0000"/>
              </a:solidFill>
            </a:rPr>
            <a:t>BVBA GULTEKIN</a:t>
          </a:r>
        </a:p>
        <a:p>
          <a:r>
            <a:rPr lang="nl-BE" sz="1100">
              <a:solidFill>
                <a:srgbClr val="FF0000"/>
              </a:solidFill>
            </a:rPr>
            <a:t>BRUGSTRAAT 12</a:t>
          </a:r>
        </a:p>
        <a:p>
          <a:r>
            <a:rPr lang="nl-BE" sz="1100">
              <a:solidFill>
                <a:srgbClr val="FF0000"/>
              </a:solidFill>
            </a:rPr>
            <a:t>9120 VRASENE</a:t>
          </a:r>
        </a:p>
      </xdr:txBody>
    </xdr:sp>
    <xdr:clientData/>
  </xdr:twoCellAnchor>
  <xdr:twoCellAnchor>
    <xdr:from>
      <xdr:col>2</xdr:col>
      <xdr:colOff>333374</xdr:colOff>
      <xdr:row>0</xdr:row>
      <xdr:rowOff>152401</xdr:rowOff>
    </xdr:from>
    <xdr:to>
      <xdr:col>3</xdr:col>
      <xdr:colOff>990600</xdr:colOff>
      <xdr:row>3</xdr:row>
      <xdr:rowOff>38101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4D3ADD73-EA0D-4313-8442-5A22BE16DEEC}"/>
            </a:ext>
          </a:extLst>
        </xdr:cNvPr>
        <xdr:cNvSpPr txBox="1"/>
      </xdr:nvSpPr>
      <xdr:spPr>
        <a:xfrm>
          <a:off x="2428874" y="152401"/>
          <a:ext cx="1704976" cy="4572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 b="1">
              <a:solidFill>
                <a:srgbClr val="00B050"/>
              </a:solidFill>
            </a:rPr>
            <a:t>Ontvangsten Januari</a:t>
          </a:r>
          <a:r>
            <a:rPr lang="nl-BE" sz="1100" b="1" baseline="0">
              <a:solidFill>
                <a:srgbClr val="00B050"/>
              </a:solidFill>
            </a:rPr>
            <a:t> 2025 Btw BE0479.048.950</a:t>
          </a:r>
          <a:endParaRPr lang="nl-BE" sz="11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5</xdr:col>
      <xdr:colOff>151811</xdr:colOff>
      <xdr:row>0</xdr:row>
      <xdr:rowOff>66675</xdr:rowOff>
    </xdr:from>
    <xdr:to>
      <xdr:col>5</xdr:col>
      <xdr:colOff>917575</xdr:colOff>
      <xdr:row>3</xdr:row>
      <xdr:rowOff>190883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93C0242C-52B2-4261-A013-651C9BA4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0561" y="66675"/>
          <a:ext cx="765764" cy="6957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57150</xdr:rowOff>
    </xdr:from>
    <xdr:to>
      <xdr:col>1</xdr:col>
      <xdr:colOff>152399</xdr:colOff>
      <xdr:row>3</xdr:row>
      <xdr:rowOff>114300</xdr:rowOff>
    </xdr:to>
    <xdr:sp macro="" textlink="">
      <xdr:nvSpPr>
        <xdr:cNvPr id="8" name="Tekstvak 7">
          <a:extLst>
            <a:ext uri="{FF2B5EF4-FFF2-40B4-BE49-F238E27FC236}">
              <a16:creationId xmlns:a16="http://schemas.microsoft.com/office/drawing/2014/main" id="{E8CBB29B-FF11-4C40-936F-88E53B2943A3}"/>
            </a:ext>
          </a:extLst>
        </xdr:cNvPr>
        <xdr:cNvSpPr txBox="1"/>
      </xdr:nvSpPr>
      <xdr:spPr>
        <a:xfrm>
          <a:off x="47624" y="57150"/>
          <a:ext cx="1152525" cy="62865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rgbClr val="FF0000"/>
              </a:solidFill>
            </a:rPr>
            <a:t>BVBA GULTEKIN</a:t>
          </a:r>
        </a:p>
        <a:p>
          <a:r>
            <a:rPr lang="nl-BE" sz="1100">
              <a:solidFill>
                <a:srgbClr val="FF0000"/>
              </a:solidFill>
            </a:rPr>
            <a:t>BRUGSTRAAT 12</a:t>
          </a:r>
        </a:p>
        <a:p>
          <a:r>
            <a:rPr lang="nl-BE" sz="1100">
              <a:solidFill>
                <a:srgbClr val="FF0000"/>
              </a:solidFill>
            </a:rPr>
            <a:t>9120 VRASENE</a:t>
          </a:r>
        </a:p>
      </xdr:txBody>
    </xdr:sp>
    <xdr:clientData/>
  </xdr:twoCellAnchor>
  <xdr:twoCellAnchor>
    <xdr:from>
      <xdr:col>2</xdr:col>
      <xdr:colOff>333375</xdr:colOff>
      <xdr:row>0</xdr:row>
      <xdr:rowOff>152401</xdr:rowOff>
    </xdr:from>
    <xdr:to>
      <xdr:col>4</xdr:col>
      <xdr:colOff>0</xdr:colOff>
      <xdr:row>3</xdr:row>
      <xdr:rowOff>38101</xdr:rowOff>
    </xdr:to>
    <xdr:sp macro="" textlink="">
      <xdr:nvSpPr>
        <xdr:cNvPr id="9" name="Tekstvak 8">
          <a:extLst>
            <a:ext uri="{FF2B5EF4-FFF2-40B4-BE49-F238E27FC236}">
              <a16:creationId xmlns:a16="http://schemas.microsoft.com/office/drawing/2014/main" id="{7B356495-C994-43B2-9407-5EEB02DBA4AA}"/>
            </a:ext>
          </a:extLst>
        </xdr:cNvPr>
        <xdr:cNvSpPr txBox="1"/>
      </xdr:nvSpPr>
      <xdr:spPr>
        <a:xfrm>
          <a:off x="2428875" y="152401"/>
          <a:ext cx="1762125" cy="4572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 b="1">
              <a:solidFill>
                <a:srgbClr val="00B050"/>
              </a:solidFill>
            </a:rPr>
            <a:t>Ontvangsten Februari</a:t>
          </a:r>
          <a:r>
            <a:rPr lang="nl-BE" sz="1100" b="1" baseline="0">
              <a:solidFill>
                <a:srgbClr val="00B050"/>
              </a:solidFill>
            </a:rPr>
            <a:t> 2025 Btw BE0479.048.950</a:t>
          </a:r>
          <a:endParaRPr lang="nl-BE" sz="11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5</xdr:col>
      <xdr:colOff>151811</xdr:colOff>
      <xdr:row>0</xdr:row>
      <xdr:rowOff>66675</xdr:rowOff>
    </xdr:from>
    <xdr:to>
      <xdr:col>5</xdr:col>
      <xdr:colOff>917575</xdr:colOff>
      <xdr:row>4</xdr:row>
      <xdr:rowOff>383</xdr:rowOff>
    </xdr:to>
    <xdr:pic>
      <xdr:nvPicPr>
        <xdr:cNvPr id="10" name="Afbeelding 9">
          <a:extLst>
            <a:ext uri="{FF2B5EF4-FFF2-40B4-BE49-F238E27FC236}">
              <a16:creationId xmlns:a16="http://schemas.microsoft.com/office/drawing/2014/main" id="{273A7349-8DCD-4039-9432-18414F55C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0561" y="66675"/>
          <a:ext cx="765764" cy="6957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57150</xdr:rowOff>
    </xdr:from>
    <xdr:to>
      <xdr:col>1</xdr:col>
      <xdr:colOff>152399</xdr:colOff>
      <xdr:row>3</xdr:row>
      <xdr:rowOff>114300</xdr:rowOff>
    </xdr:to>
    <xdr:sp macro="" textlink="">
      <xdr:nvSpPr>
        <xdr:cNvPr id="8" name="Tekstvak 7">
          <a:extLst>
            <a:ext uri="{FF2B5EF4-FFF2-40B4-BE49-F238E27FC236}">
              <a16:creationId xmlns:a16="http://schemas.microsoft.com/office/drawing/2014/main" id="{FFAFB708-32F7-4495-9347-91C0B3955FA3}"/>
            </a:ext>
          </a:extLst>
        </xdr:cNvPr>
        <xdr:cNvSpPr txBox="1"/>
      </xdr:nvSpPr>
      <xdr:spPr>
        <a:xfrm>
          <a:off x="47624" y="57150"/>
          <a:ext cx="1152525" cy="62865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rgbClr val="FF0000"/>
              </a:solidFill>
            </a:rPr>
            <a:t>BVBA GULTEKIN</a:t>
          </a:r>
        </a:p>
        <a:p>
          <a:r>
            <a:rPr lang="nl-BE" sz="1100">
              <a:solidFill>
                <a:srgbClr val="FF0000"/>
              </a:solidFill>
            </a:rPr>
            <a:t>BRUGSTRAAT 12</a:t>
          </a:r>
        </a:p>
        <a:p>
          <a:r>
            <a:rPr lang="nl-BE" sz="1100">
              <a:solidFill>
                <a:srgbClr val="FF0000"/>
              </a:solidFill>
            </a:rPr>
            <a:t>9120 VRASENE</a:t>
          </a:r>
        </a:p>
      </xdr:txBody>
    </xdr:sp>
    <xdr:clientData/>
  </xdr:twoCellAnchor>
  <xdr:twoCellAnchor>
    <xdr:from>
      <xdr:col>2</xdr:col>
      <xdr:colOff>333375</xdr:colOff>
      <xdr:row>0</xdr:row>
      <xdr:rowOff>152401</xdr:rowOff>
    </xdr:from>
    <xdr:to>
      <xdr:col>3</xdr:col>
      <xdr:colOff>952501</xdr:colOff>
      <xdr:row>3</xdr:row>
      <xdr:rowOff>38101</xdr:rowOff>
    </xdr:to>
    <xdr:sp macro="" textlink="">
      <xdr:nvSpPr>
        <xdr:cNvPr id="9" name="Tekstvak 8">
          <a:extLst>
            <a:ext uri="{FF2B5EF4-FFF2-40B4-BE49-F238E27FC236}">
              <a16:creationId xmlns:a16="http://schemas.microsoft.com/office/drawing/2014/main" id="{FE238FF5-A503-4A1C-85D7-ED0FF41AD291}"/>
            </a:ext>
          </a:extLst>
        </xdr:cNvPr>
        <xdr:cNvSpPr txBox="1"/>
      </xdr:nvSpPr>
      <xdr:spPr>
        <a:xfrm>
          <a:off x="2428875" y="152401"/>
          <a:ext cx="1666876" cy="4572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 b="1">
              <a:solidFill>
                <a:srgbClr val="00B050"/>
              </a:solidFill>
            </a:rPr>
            <a:t>Ontvangsten Maart</a:t>
          </a:r>
          <a:r>
            <a:rPr lang="nl-BE" sz="1100" b="1" baseline="0">
              <a:solidFill>
                <a:srgbClr val="00B050"/>
              </a:solidFill>
            </a:rPr>
            <a:t> 2025 Btw BE0479.048.950</a:t>
          </a:r>
          <a:endParaRPr lang="nl-BE" sz="11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5</xdr:col>
      <xdr:colOff>151811</xdr:colOff>
      <xdr:row>0</xdr:row>
      <xdr:rowOff>66675</xdr:rowOff>
    </xdr:from>
    <xdr:to>
      <xdr:col>5</xdr:col>
      <xdr:colOff>917575</xdr:colOff>
      <xdr:row>4</xdr:row>
      <xdr:rowOff>383</xdr:rowOff>
    </xdr:to>
    <xdr:pic>
      <xdr:nvPicPr>
        <xdr:cNvPr id="10" name="Afbeelding 9">
          <a:extLst>
            <a:ext uri="{FF2B5EF4-FFF2-40B4-BE49-F238E27FC236}">
              <a16:creationId xmlns:a16="http://schemas.microsoft.com/office/drawing/2014/main" id="{017948B7-F77E-4F60-8E52-AC10C410A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0561" y="66675"/>
          <a:ext cx="765764" cy="6957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57150</xdr:rowOff>
    </xdr:from>
    <xdr:to>
      <xdr:col>1</xdr:col>
      <xdr:colOff>152399</xdr:colOff>
      <xdr:row>3</xdr:row>
      <xdr:rowOff>114300</xdr:rowOff>
    </xdr:to>
    <xdr:sp macro="" textlink="">
      <xdr:nvSpPr>
        <xdr:cNvPr id="8" name="Tekstvak 7">
          <a:extLst>
            <a:ext uri="{FF2B5EF4-FFF2-40B4-BE49-F238E27FC236}">
              <a16:creationId xmlns:a16="http://schemas.microsoft.com/office/drawing/2014/main" id="{3743FA8B-32A4-4D6B-9211-A26AA5E826D9}"/>
            </a:ext>
          </a:extLst>
        </xdr:cNvPr>
        <xdr:cNvSpPr txBox="1"/>
      </xdr:nvSpPr>
      <xdr:spPr>
        <a:xfrm>
          <a:off x="47624" y="57150"/>
          <a:ext cx="1152525" cy="62865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rgbClr val="FF0000"/>
              </a:solidFill>
            </a:rPr>
            <a:t>BVBA GULTEKIN</a:t>
          </a:r>
        </a:p>
        <a:p>
          <a:r>
            <a:rPr lang="nl-BE" sz="1100">
              <a:solidFill>
                <a:srgbClr val="FF0000"/>
              </a:solidFill>
            </a:rPr>
            <a:t>BRUGSTRAAT 12</a:t>
          </a:r>
        </a:p>
        <a:p>
          <a:r>
            <a:rPr lang="nl-BE" sz="1100">
              <a:solidFill>
                <a:srgbClr val="FF0000"/>
              </a:solidFill>
            </a:rPr>
            <a:t>9120 VRASENE</a:t>
          </a:r>
        </a:p>
      </xdr:txBody>
    </xdr:sp>
    <xdr:clientData/>
  </xdr:twoCellAnchor>
  <xdr:twoCellAnchor>
    <xdr:from>
      <xdr:col>2</xdr:col>
      <xdr:colOff>333375</xdr:colOff>
      <xdr:row>0</xdr:row>
      <xdr:rowOff>152401</xdr:rowOff>
    </xdr:from>
    <xdr:to>
      <xdr:col>3</xdr:col>
      <xdr:colOff>838200</xdr:colOff>
      <xdr:row>3</xdr:row>
      <xdr:rowOff>38101</xdr:rowOff>
    </xdr:to>
    <xdr:sp macro="" textlink="">
      <xdr:nvSpPr>
        <xdr:cNvPr id="9" name="Tekstvak 8">
          <a:extLst>
            <a:ext uri="{FF2B5EF4-FFF2-40B4-BE49-F238E27FC236}">
              <a16:creationId xmlns:a16="http://schemas.microsoft.com/office/drawing/2014/main" id="{E1A1CEEF-3544-4EEC-9634-33E0762EC1E0}"/>
            </a:ext>
          </a:extLst>
        </xdr:cNvPr>
        <xdr:cNvSpPr txBox="1"/>
      </xdr:nvSpPr>
      <xdr:spPr>
        <a:xfrm>
          <a:off x="2428875" y="152401"/>
          <a:ext cx="1552575" cy="4572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 b="1">
              <a:solidFill>
                <a:srgbClr val="00B050"/>
              </a:solidFill>
            </a:rPr>
            <a:t>Ontvangsten </a:t>
          </a:r>
          <a:r>
            <a:rPr lang="nl-BE" sz="1100" b="1" baseline="0">
              <a:solidFill>
                <a:srgbClr val="00B050"/>
              </a:solidFill>
            </a:rPr>
            <a:t>April 2025 Btw BE0479.048.950</a:t>
          </a:r>
          <a:endParaRPr lang="nl-BE" sz="11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5</xdr:col>
      <xdr:colOff>151811</xdr:colOff>
      <xdr:row>0</xdr:row>
      <xdr:rowOff>66675</xdr:rowOff>
    </xdr:from>
    <xdr:to>
      <xdr:col>5</xdr:col>
      <xdr:colOff>917575</xdr:colOff>
      <xdr:row>4</xdr:row>
      <xdr:rowOff>383</xdr:rowOff>
    </xdr:to>
    <xdr:pic>
      <xdr:nvPicPr>
        <xdr:cNvPr id="10" name="Afbeelding 9">
          <a:extLst>
            <a:ext uri="{FF2B5EF4-FFF2-40B4-BE49-F238E27FC236}">
              <a16:creationId xmlns:a16="http://schemas.microsoft.com/office/drawing/2014/main" id="{E16E7FE7-7DFD-4DA8-B68C-45B255480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0561" y="66675"/>
          <a:ext cx="765764" cy="6957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57150</xdr:rowOff>
    </xdr:from>
    <xdr:to>
      <xdr:col>1</xdr:col>
      <xdr:colOff>152399</xdr:colOff>
      <xdr:row>3</xdr:row>
      <xdr:rowOff>114300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8517D3F1-AA1A-4D04-B682-FA47C3843BE8}"/>
            </a:ext>
          </a:extLst>
        </xdr:cNvPr>
        <xdr:cNvSpPr txBox="1"/>
      </xdr:nvSpPr>
      <xdr:spPr>
        <a:xfrm>
          <a:off x="47624" y="57150"/>
          <a:ext cx="1152525" cy="62865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rgbClr val="FF0000"/>
              </a:solidFill>
            </a:rPr>
            <a:t>BVBA GULTEKIN</a:t>
          </a:r>
        </a:p>
        <a:p>
          <a:r>
            <a:rPr lang="nl-BE" sz="1100">
              <a:solidFill>
                <a:srgbClr val="FF0000"/>
              </a:solidFill>
            </a:rPr>
            <a:t>BRUGSTRAAT 12</a:t>
          </a:r>
        </a:p>
        <a:p>
          <a:r>
            <a:rPr lang="nl-BE" sz="1100">
              <a:solidFill>
                <a:srgbClr val="FF0000"/>
              </a:solidFill>
            </a:rPr>
            <a:t>9120 VRASENE</a:t>
          </a:r>
        </a:p>
      </xdr:txBody>
    </xdr:sp>
    <xdr:clientData/>
  </xdr:twoCellAnchor>
  <xdr:twoCellAnchor>
    <xdr:from>
      <xdr:col>2</xdr:col>
      <xdr:colOff>333374</xdr:colOff>
      <xdr:row>0</xdr:row>
      <xdr:rowOff>152401</xdr:rowOff>
    </xdr:from>
    <xdr:to>
      <xdr:col>3</xdr:col>
      <xdr:colOff>790575</xdr:colOff>
      <xdr:row>3</xdr:row>
      <xdr:rowOff>38101</xdr:rowOff>
    </xdr:to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DA95DF72-30AA-4B08-88FA-4B265DD2CAEE}"/>
            </a:ext>
          </a:extLst>
        </xdr:cNvPr>
        <xdr:cNvSpPr txBox="1"/>
      </xdr:nvSpPr>
      <xdr:spPr>
        <a:xfrm>
          <a:off x="2428874" y="152401"/>
          <a:ext cx="1504951" cy="4572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 b="1">
              <a:solidFill>
                <a:srgbClr val="00B050"/>
              </a:solidFill>
            </a:rPr>
            <a:t>Ontvangsten Mei</a:t>
          </a:r>
          <a:r>
            <a:rPr lang="nl-BE" sz="1100" b="1" baseline="0">
              <a:solidFill>
                <a:srgbClr val="00B050"/>
              </a:solidFill>
            </a:rPr>
            <a:t> 2025 Btw BE0479.048.950</a:t>
          </a:r>
          <a:endParaRPr lang="nl-BE" sz="11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5</xdr:col>
      <xdr:colOff>151811</xdr:colOff>
      <xdr:row>0</xdr:row>
      <xdr:rowOff>66675</xdr:rowOff>
    </xdr:from>
    <xdr:to>
      <xdr:col>5</xdr:col>
      <xdr:colOff>917575</xdr:colOff>
      <xdr:row>4</xdr:row>
      <xdr:rowOff>383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2641D66D-15BC-4DBB-B949-81D3542CA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0561" y="66675"/>
          <a:ext cx="765764" cy="6957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57150</xdr:rowOff>
    </xdr:from>
    <xdr:to>
      <xdr:col>1</xdr:col>
      <xdr:colOff>152399</xdr:colOff>
      <xdr:row>3</xdr:row>
      <xdr:rowOff>114300</xdr:rowOff>
    </xdr:to>
    <xdr:sp macro="" textlink="">
      <xdr:nvSpPr>
        <xdr:cNvPr id="5" name="Tekstvak 4">
          <a:extLst>
            <a:ext uri="{FF2B5EF4-FFF2-40B4-BE49-F238E27FC236}">
              <a16:creationId xmlns:a16="http://schemas.microsoft.com/office/drawing/2014/main" id="{6B401BD0-2058-49C7-AD25-0DEF7EC87DD5}"/>
            </a:ext>
          </a:extLst>
        </xdr:cNvPr>
        <xdr:cNvSpPr txBox="1"/>
      </xdr:nvSpPr>
      <xdr:spPr>
        <a:xfrm>
          <a:off x="47624" y="57150"/>
          <a:ext cx="1152525" cy="62865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rgbClr val="FF0000"/>
              </a:solidFill>
            </a:rPr>
            <a:t>BVBA GULTEKIN</a:t>
          </a:r>
        </a:p>
        <a:p>
          <a:r>
            <a:rPr lang="nl-BE" sz="1100">
              <a:solidFill>
                <a:srgbClr val="FF0000"/>
              </a:solidFill>
            </a:rPr>
            <a:t>BRUGSTRAAT 12</a:t>
          </a:r>
        </a:p>
        <a:p>
          <a:r>
            <a:rPr lang="nl-BE" sz="1100">
              <a:solidFill>
                <a:srgbClr val="FF0000"/>
              </a:solidFill>
            </a:rPr>
            <a:t>9120 VRASENE</a:t>
          </a:r>
        </a:p>
      </xdr:txBody>
    </xdr:sp>
    <xdr:clientData/>
  </xdr:twoCellAnchor>
  <xdr:twoCellAnchor>
    <xdr:from>
      <xdr:col>2</xdr:col>
      <xdr:colOff>333374</xdr:colOff>
      <xdr:row>0</xdr:row>
      <xdr:rowOff>152401</xdr:rowOff>
    </xdr:from>
    <xdr:to>
      <xdr:col>3</xdr:col>
      <xdr:colOff>790575</xdr:colOff>
      <xdr:row>3</xdr:row>
      <xdr:rowOff>38101</xdr:rowOff>
    </xdr:to>
    <xdr:sp macro="" textlink="">
      <xdr:nvSpPr>
        <xdr:cNvPr id="6" name="Tekstvak 5">
          <a:extLst>
            <a:ext uri="{FF2B5EF4-FFF2-40B4-BE49-F238E27FC236}">
              <a16:creationId xmlns:a16="http://schemas.microsoft.com/office/drawing/2014/main" id="{26F9A5F7-C6FB-4458-971C-BCD009BB352E}"/>
            </a:ext>
          </a:extLst>
        </xdr:cNvPr>
        <xdr:cNvSpPr txBox="1"/>
      </xdr:nvSpPr>
      <xdr:spPr>
        <a:xfrm>
          <a:off x="2428874" y="152401"/>
          <a:ext cx="1504951" cy="4572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 b="1">
              <a:solidFill>
                <a:srgbClr val="00B050"/>
              </a:solidFill>
            </a:rPr>
            <a:t>Ontvangsten Juni</a:t>
          </a:r>
          <a:r>
            <a:rPr lang="nl-BE" sz="1100" b="1" baseline="0">
              <a:solidFill>
                <a:srgbClr val="00B050"/>
              </a:solidFill>
            </a:rPr>
            <a:t> 2025 Btw BE0479.048.950</a:t>
          </a:r>
          <a:endParaRPr lang="nl-BE" sz="11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5</xdr:col>
      <xdr:colOff>151811</xdr:colOff>
      <xdr:row>0</xdr:row>
      <xdr:rowOff>66675</xdr:rowOff>
    </xdr:from>
    <xdr:to>
      <xdr:col>5</xdr:col>
      <xdr:colOff>917575</xdr:colOff>
      <xdr:row>4</xdr:row>
      <xdr:rowOff>383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49586D92-D77B-4366-930D-A88680CE0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0561" y="66675"/>
          <a:ext cx="765764" cy="6957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57150</xdr:rowOff>
    </xdr:from>
    <xdr:to>
      <xdr:col>1</xdr:col>
      <xdr:colOff>152399</xdr:colOff>
      <xdr:row>3</xdr:row>
      <xdr:rowOff>114300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49E980D9-248D-4A6A-9971-7306FD3EC1B7}"/>
            </a:ext>
          </a:extLst>
        </xdr:cNvPr>
        <xdr:cNvSpPr txBox="1"/>
      </xdr:nvSpPr>
      <xdr:spPr>
        <a:xfrm>
          <a:off x="47624" y="57150"/>
          <a:ext cx="1152525" cy="62865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rgbClr val="FF0000"/>
              </a:solidFill>
            </a:rPr>
            <a:t>BVBA GULTEKIN</a:t>
          </a:r>
        </a:p>
        <a:p>
          <a:r>
            <a:rPr lang="nl-BE" sz="1100">
              <a:solidFill>
                <a:srgbClr val="FF0000"/>
              </a:solidFill>
            </a:rPr>
            <a:t>BRUGSTRAAT 12</a:t>
          </a:r>
        </a:p>
        <a:p>
          <a:r>
            <a:rPr lang="nl-BE" sz="1100">
              <a:solidFill>
                <a:srgbClr val="FF0000"/>
              </a:solidFill>
            </a:rPr>
            <a:t>9120 VRASENE</a:t>
          </a:r>
        </a:p>
      </xdr:txBody>
    </xdr:sp>
    <xdr:clientData/>
  </xdr:twoCellAnchor>
  <xdr:twoCellAnchor>
    <xdr:from>
      <xdr:col>2</xdr:col>
      <xdr:colOff>333375</xdr:colOff>
      <xdr:row>0</xdr:row>
      <xdr:rowOff>152401</xdr:rowOff>
    </xdr:from>
    <xdr:to>
      <xdr:col>3</xdr:col>
      <xdr:colOff>762000</xdr:colOff>
      <xdr:row>3</xdr:row>
      <xdr:rowOff>38101</xdr:rowOff>
    </xdr:to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E1486938-1E50-4838-A6FC-639AF3D8364C}"/>
            </a:ext>
          </a:extLst>
        </xdr:cNvPr>
        <xdr:cNvSpPr txBox="1"/>
      </xdr:nvSpPr>
      <xdr:spPr>
        <a:xfrm>
          <a:off x="2428875" y="152401"/>
          <a:ext cx="1476375" cy="4572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 b="1">
              <a:solidFill>
                <a:srgbClr val="00B050"/>
              </a:solidFill>
            </a:rPr>
            <a:t>Ontvangsten Juli</a:t>
          </a:r>
          <a:r>
            <a:rPr lang="nl-BE" sz="1100" b="1" baseline="0">
              <a:solidFill>
                <a:srgbClr val="00B050"/>
              </a:solidFill>
            </a:rPr>
            <a:t> 2025 Btw BE0479.048.950</a:t>
          </a:r>
          <a:endParaRPr lang="nl-BE" sz="11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5</xdr:col>
      <xdr:colOff>151811</xdr:colOff>
      <xdr:row>0</xdr:row>
      <xdr:rowOff>66675</xdr:rowOff>
    </xdr:from>
    <xdr:to>
      <xdr:col>5</xdr:col>
      <xdr:colOff>917575</xdr:colOff>
      <xdr:row>4</xdr:row>
      <xdr:rowOff>383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9C5445D1-381B-4F86-BCDD-BE9917DB1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0561" y="66675"/>
          <a:ext cx="765764" cy="6957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57150</xdr:rowOff>
    </xdr:from>
    <xdr:to>
      <xdr:col>1</xdr:col>
      <xdr:colOff>152399</xdr:colOff>
      <xdr:row>3</xdr:row>
      <xdr:rowOff>114300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057AD671-9FAA-486A-8829-0BB60FAFBCE8}"/>
            </a:ext>
          </a:extLst>
        </xdr:cNvPr>
        <xdr:cNvSpPr txBox="1"/>
      </xdr:nvSpPr>
      <xdr:spPr>
        <a:xfrm>
          <a:off x="47624" y="57150"/>
          <a:ext cx="1152525" cy="62865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rgbClr val="FF0000"/>
              </a:solidFill>
            </a:rPr>
            <a:t>BVBA GULTEKIN</a:t>
          </a:r>
        </a:p>
        <a:p>
          <a:r>
            <a:rPr lang="nl-BE" sz="1100">
              <a:solidFill>
                <a:srgbClr val="FF0000"/>
              </a:solidFill>
            </a:rPr>
            <a:t>BRUGSTRAAT 12</a:t>
          </a:r>
        </a:p>
        <a:p>
          <a:r>
            <a:rPr lang="nl-BE" sz="1100">
              <a:solidFill>
                <a:srgbClr val="FF0000"/>
              </a:solidFill>
            </a:rPr>
            <a:t>9120 VRASENE</a:t>
          </a:r>
        </a:p>
      </xdr:txBody>
    </xdr:sp>
    <xdr:clientData/>
  </xdr:twoCellAnchor>
  <xdr:twoCellAnchor>
    <xdr:from>
      <xdr:col>2</xdr:col>
      <xdr:colOff>333374</xdr:colOff>
      <xdr:row>0</xdr:row>
      <xdr:rowOff>152401</xdr:rowOff>
    </xdr:from>
    <xdr:to>
      <xdr:col>4</xdr:col>
      <xdr:colOff>47625</xdr:colOff>
      <xdr:row>3</xdr:row>
      <xdr:rowOff>38101</xdr:rowOff>
    </xdr:to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DCD08B6-3BBC-4C8F-A3C2-1C18F4F67733}"/>
            </a:ext>
          </a:extLst>
        </xdr:cNvPr>
        <xdr:cNvSpPr txBox="1"/>
      </xdr:nvSpPr>
      <xdr:spPr>
        <a:xfrm>
          <a:off x="2428874" y="152401"/>
          <a:ext cx="1809751" cy="4572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 b="1">
              <a:solidFill>
                <a:srgbClr val="00B050"/>
              </a:solidFill>
            </a:rPr>
            <a:t>Ontvangsten Augustus</a:t>
          </a:r>
          <a:r>
            <a:rPr lang="nl-BE" sz="1100" b="1" baseline="0">
              <a:solidFill>
                <a:srgbClr val="00B050"/>
              </a:solidFill>
            </a:rPr>
            <a:t> 2025 Btw BE0479.048.950</a:t>
          </a:r>
          <a:endParaRPr lang="nl-BE" sz="11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5</xdr:col>
      <xdr:colOff>151811</xdr:colOff>
      <xdr:row>0</xdr:row>
      <xdr:rowOff>66675</xdr:rowOff>
    </xdr:from>
    <xdr:to>
      <xdr:col>5</xdr:col>
      <xdr:colOff>917575</xdr:colOff>
      <xdr:row>4</xdr:row>
      <xdr:rowOff>383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33CF702D-0148-4AE3-AABF-5C0410856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0561" y="66675"/>
          <a:ext cx="765764" cy="6957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57150</xdr:rowOff>
    </xdr:from>
    <xdr:to>
      <xdr:col>1</xdr:col>
      <xdr:colOff>152399</xdr:colOff>
      <xdr:row>3</xdr:row>
      <xdr:rowOff>114300</xdr:rowOff>
    </xdr:to>
    <xdr:sp macro="" textlink="">
      <xdr:nvSpPr>
        <xdr:cNvPr id="5" name="Tekstvak 4">
          <a:extLst>
            <a:ext uri="{FF2B5EF4-FFF2-40B4-BE49-F238E27FC236}">
              <a16:creationId xmlns:a16="http://schemas.microsoft.com/office/drawing/2014/main" id="{33609C69-E7A4-441C-B93A-BEDF9C7E5267}"/>
            </a:ext>
          </a:extLst>
        </xdr:cNvPr>
        <xdr:cNvSpPr txBox="1"/>
      </xdr:nvSpPr>
      <xdr:spPr>
        <a:xfrm>
          <a:off x="47624" y="57150"/>
          <a:ext cx="1152525" cy="62865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rgbClr val="FF0000"/>
              </a:solidFill>
            </a:rPr>
            <a:t>BVBA GULTEKIN</a:t>
          </a:r>
        </a:p>
        <a:p>
          <a:r>
            <a:rPr lang="nl-BE" sz="1100">
              <a:solidFill>
                <a:srgbClr val="FF0000"/>
              </a:solidFill>
            </a:rPr>
            <a:t>BRUGSTRAAT 12</a:t>
          </a:r>
        </a:p>
        <a:p>
          <a:r>
            <a:rPr lang="nl-BE" sz="1100">
              <a:solidFill>
                <a:srgbClr val="FF0000"/>
              </a:solidFill>
            </a:rPr>
            <a:t>9120 VRASENE</a:t>
          </a:r>
        </a:p>
      </xdr:txBody>
    </xdr:sp>
    <xdr:clientData/>
  </xdr:twoCellAnchor>
  <xdr:twoCellAnchor>
    <xdr:from>
      <xdr:col>2</xdr:col>
      <xdr:colOff>333375</xdr:colOff>
      <xdr:row>0</xdr:row>
      <xdr:rowOff>152401</xdr:rowOff>
    </xdr:from>
    <xdr:to>
      <xdr:col>4</xdr:col>
      <xdr:colOff>152400</xdr:colOff>
      <xdr:row>3</xdr:row>
      <xdr:rowOff>38101</xdr:rowOff>
    </xdr:to>
    <xdr:sp macro="" textlink="">
      <xdr:nvSpPr>
        <xdr:cNvPr id="6" name="Tekstvak 5">
          <a:extLst>
            <a:ext uri="{FF2B5EF4-FFF2-40B4-BE49-F238E27FC236}">
              <a16:creationId xmlns:a16="http://schemas.microsoft.com/office/drawing/2014/main" id="{EDE289EB-F925-4CA2-8E89-524717854D00}"/>
            </a:ext>
          </a:extLst>
        </xdr:cNvPr>
        <xdr:cNvSpPr txBox="1"/>
      </xdr:nvSpPr>
      <xdr:spPr>
        <a:xfrm>
          <a:off x="2428875" y="152401"/>
          <a:ext cx="1914525" cy="4572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 b="1">
              <a:solidFill>
                <a:srgbClr val="00B050"/>
              </a:solidFill>
            </a:rPr>
            <a:t>Ontvangsten September</a:t>
          </a:r>
          <a:r>
            <a:rPr lang="nl-BE" sz="1100" b="1" baseline="0">
              <a:solidFill>
                <a:srgbClr val="00B050"/>
              </a:solidFill>
            </a:rPr>
            <a:t> 2025 Btw BE0479.048.950</a:t>
          </a:r>
          <a:endParaRPr lang="nl-BE" sz="11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5</xdr:col>
      <xdr:colOff>151811</xdr:colOff>
      <xdr:row>0</xdr:row>
      <xdr:rowOff>66675</xdr:rowOff>
    </xdr:from>
    <xdr:to>
      <xdr:col>5</xdr:col>
      <xdr:colOff>917575</xdr:colOff>
      <xdr:row>4</xdr:row>
      <xdr:rowOff>383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000E693A-D533-49E1-811B-BDA923B53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0561" y="66675"/>
          <a:ext cx="765764" cy="69570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57150</xdr:rowOff>
    </xdr:from>
    <xdr:to>
      <xdr:col>1</xdr:col>
      <xdr:colOff>152399</xdr:colOff>
      <xdr:row>3</xdr:row>
      <xdr:rowOff>114300</xdr:rowOff>
    </xdr:to>
    <xdr:sp macro="" textlink="">
      <xdr:nvSpPr>
        <xdr:cNvPr id="5" name="Tekstvak 4">
          <a:extLst>
            <a:ext uri="{FF2B5EF4-FFF2-40B4-BE49-F238E27FC236}">
              <a16:creationId xmlns:a16="http://schemas.microsoft.com/office/drawing/2014/main" id="{EF9A2A1D-FC9D-41F9-B723-6056FC12959D}"/>
            </a:ext>
          </a:extLst>
        </xdr:cNvPr>
        <xdr:cNvSpPr txBox="1"/>
      </xdr:nvSpPr>
      <xdr:spPr>
        <a:xfrm>
          <a:off x="47624" y="57150"/>
          <a:ext cx="1152525" cy="62865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rgbClr val="FF0000"/>
              </a:solidFill>
            </a:rPr>
            <a:t>BVBA GULTEKIN</a:t>
          </a:r>
        </a:p>
        <a:p>
          <a:r>
            <a:rPr lang="nl-BE" sz="1100">
              <a:solidFill>
                <a:srgbClr val="FF0000"/>
              </a:solidFill>
            </a:rPr>
            <a:t>BRUGSTRAAT 12</a:t>
          </a:r>
        </a:p>
        <a:p>
          <a:r>
            <a:rPr lang="nl-BE" sz="1100">
              <a:solidFill>
                <a:srgbClr val="FF0000"/>
              </a:solidFill>
            </a:rPr>
            <a:t>9120 VRASENE</a:t>
          </a:r>
        </a:p>
      </xdr:txBody>
    </xdr:sp>
    <xdr:clientData/>
  </xdr:twoCellAnchor>
  <xdr:twoCellAnchor>
    <xdr:from>
      <xdr:col>2</xdr:col>
      <xdr:colOff>333375</xdr:colOff>
      <xdr:row>0</xdr:row>
      <xdr:rowOff>152401</xdr:rowOff>
    </xdr:from>
    <xdr:to>
      <xdr:col>4</xdr:col>
      <xdr:colOff>1</xdr:colOff>
      <xdr:row>3</xdr:row>
      <xdr:rowOff>38101</xdr:rowOff>
    </xdr:to>
    <xdr:sp macro="" textlink="">
      <xdr:nvSpPr>
        <xdr:cNvPr id="6" name="Tekstvak 5">
          <a:extLst>
            <a:ext uri="{FF2B5EF4-FFF2-40B4-BE49-F238E27FC236}">
              <a16:creationId xmlns:a16="http://schemas.microsoft.com/office/drawing/2014/main" id="{835946B4-DA54-4BEB-B36E-CC89B021DBB8}"/>
            </a:ext>
          </a:extLst>
        </xdr:cNvPr>
        <xdr:cNvSpPr txBox="1"/>
      </xdr:nvSpPr>
      <xdr:spPr>
        <a:xfrm>
          <a:off x="2428875" y="152401"/>
          <a:ext cx="1762126" cy="4572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 b="1">
              <a:solidFill>
                <a:srgbClr val="00B050"/>
              </a:solidFill>
            </a:rPr>
            <a:t>Ontvangsten Oktober</a:t>
          </a:r>
          <a:r>
            <a:rPr lang="nl-BE" sz="1100" b="1" baseline="0">
              <a:solidFill>
                <a:srgbClr val="00B050"/>
              </a:solidFill>
            </a:rPr>
            <a:t> 2025 Btw BE0479.048.950</a:t>
          </a:r>
          <a:endParaRPr lang="nl-BE" sz="11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5</xdr:col>
      <xdr:colOff>151811</xdr:colOff>
      <xdr:row>0</xdr:row>
      <xdr:rowOff>66675</xdr:rowOff>
    </xdr:from>
    <xdr:to>
      <xdr:col>5</xdr:col>
      <xdr:colOff>917575</xdr:colOff>
      <xdr:row>4</xdr:row>
      <xdr:rowOff>383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ABB95C02-1DEA-4296-8026-768293239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0561" y="66675"/>
          <a:ext cx="765764" cy="69570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57150</xdr:rowOff>
    </xdr:from>
    <xdr:to>
      <xdr:col>1</xdr:col>
      <xdr:colOff>152399</xdr:colOff>
      <xdr:row>3</xdr:row>
      <xdr:rowOff>114300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2E601ED9-2B0A-4484-83D8-7799A754F89F}"/>
            </a:ext>
          </a:extLst>
        </xdr:cNvPr>
        <xdr:cNvSpPr txBox="1"/>
      </xdr:nvSpPr>
      <xdr:spPr>
        <a:xfrm>
          <a:off x="47624" y="57150"/>
          <a:ext cx="1152525" cy="62865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rgbClr val="FF0000"/>
              </a:solidFill>
            </a:rPr>
            <a:t>BVBA GULTEKIN</a:t>
          </a:r>
        </a:p>
        <a:p>
          <a:r>
            <a:rPr lang="nl-BE" sz="1100">
              <a:solidFill>
                <a:srgbClr val="FF0000"/>
              </a:solidFill>
            </a:rPr>
            <a:t>BRUGSTRAAT 12</a:t>
          </a:r>
        </a:p>
        <a:p>
          <a:r>
            <a:rPr lang="nl-BE" sz="1100">
              <a:solidFill>
                <a:srgbClr val="FF0000"/>
              </a:solidFill>
            </a:rPr>
            <a:t>9120 VRASENE</a:t>
          </a:r>
        </a:p>
      </xdr:txBody>
    </xdr:sp>
    <xdr:clientData/>
  </xdr:twoCellAnchor>
  <xdr:twoCellAnchor>
    <xdr:from>
      <xdr:col>2</xdr:col>
      <xdr:colOff>333374</xdr:colOff>
      <xdr:row>0</xdr:row>
      <xdr:rowOff>152401</xdr:rowOff>
    </xdr:from>
    <xdr:to>
      <xdr:col>4</xdr:col>
      <xdr:colOff>123825</xdr:colOff>
      <xdr:row>3</xdr:row>
      <xdr:rowOff>38101</xdr:rowOff>
    </xdr:to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3BBA407E-6EF7-4362-B947-9D7129A8A6CA}"/>
            </a:ext>
          </a:extLst>
        </xdr:cNvPr>
        <xdr:cNvSpPr txBox="1"/>
      </xdr:nvSpPr>
      <xdr:spPr>
        <a:xfrm>
          <a:off x="2428874" y="152401"/>
          <a:ext cx="1885951" cy="4572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 b="1">
              <a:solidFill>
                <a:srgbClr val="00B050"/>
              </a:solidFill>
            </a:rPr>
            <a:t>Ontvangsten November</a:t>
          </a:r>
          <a:r>
            <a:rPr lang="nl-BE" sz="1100" b="1" baseline="0">
              <a:solidFill>
                <a:srgbClr val="00B050"/>
              </a:solidFill>
            </a:rPr>
            <a:t> 2025 Btw BE0479.048.950</a:t>
          </a:r>
          <a:endParaRPr lang="nl-BE" sz="11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5</xdr:col>
      <xdr:colOff>151811</xdr:colOff>
      <xdr:row>0</xdr:row>
      <xdr:rowOff>66675</xdr:rowOff>
    </xdr:from>
    <xdr:to>
      <xdr:col>5</xdr:col>
      <xdr:colOff>917575</xdr:colOff>
      <xdr:row>4</xdr:row>
      <xdr:rowOff>383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7904C604-6632-4138-9AE1-C416C4391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0561" y="66675"/>
          <a:ext cx="765764" cy="69570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0</xdr:row>
      <xdr:rowOff>57150</xdr:rowOff>
    </xdr:from>
    <xdr:to>
      <xdr:col>1</xdr:col>
      <xdr:colOff>152399</xdr:colOff>
      <xdr:row>3</xdr:row>
      <xdr:rowOff>114300</xdr:rowOff>
    </xdr:to>
    <xdr:sp macro="" textlink="">
      <xdr:nvSpPr>
        <xdr:cNvPr id="5" name="Tekstvak 4">
          <a:extLst>
            <a:ext uri="{FF2B5EF4-FFF2-40B4-BE49-F238E27FC236}">
              <a16:creationId xmlns:a16="http://schemas.microsoft.com/office/drawing/2014/main" id="{5B2E75E0-0B75-48FC-BEEC-763B4F8F3732}"/>
            </a:ext>
          </a:extLst>
        </xdr:cNvPr>
        <xdr:cNvSpPr txBox="1"/>
      </xdr:nvSpPr>
      <xdr:spPr>
        <a:xfrm>
          <a:off x="47624" y="57150"/>
          <a:ext cx="1152525" cy="62865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>
              <a:solidFill>
                <a:srgbClr val="FF0000"/>
              </a:solidFill>
            </a:rPr>
            <a:t>BVBA GULTEKIN</a:t>
          </a:r>
        </a:p>
        <a:p>
          <a:r>
            <a:rPr lang="nl-BE" sz="1100">
              <a:solidFill>
                <a:srgbClr val="FF0000"/>
              </a:solidFill>
            </a:rPr>
            <a:t>BRUGSTRAAT 12</a:t>
          </a:r>
        </a:p>
        <a:p>
          <a:r>
            <a:rPr lang="nl-BE" sz="1100">
              <a:solidFill>
                <a:srgbClr val="FF0000"/>
              </a:solidFill>
            </a:rPr>
            <a:t>9120 VRASENE</a:t>
          </a:r>
        </a:p>
      </xdr:txBody>
    </xdr:sp>
    <xdr:clientData/>
  </xdr:twoCellAnchor>
  <xdr:twoCellAnchor>
    <xdr:from>
      <xdr:col>2</xdr:col>
      <xdr:colOff>333374</xdr:colOff>
      <xdr:row>0</xdr:row>
      <xdr:rowOff>152401</xdr:rowOff>
    </xdr:from>
    <xdr:to>
      <xdr:col>4</xdr:col>
      <xdr:colOff>114300</xdr:colOff>
      <xdr:row>3</xdr:row>
      <xdr:rowOff>38101</xdr:rowOff>
    </xdr:to>
    <xdr:sp macro="" textlink="">
      <xdr:nvSpPr>
        <xdr:cNvPr id="6" name="Tekstvak 5">
          <a:extLst>
            <a:ext uri="{FF2B5EF4-FFF2-40B4-BE49-F238E27FC236}">
              <a16:creationId xmlns:a16="http://schemas.microsoft.com/office/drawing/2014/main" id="{97D3A205-5A7D-439C-A2BF-FBE0B150BFB0}"/>
            </a:ext>
          </a:extLst>
        </xdr:cNvPr>
        <xdr:cNvSpPr txBox="1"/>
      </xdr:nvSpPr>
      <xdr:spPr>
        <a:xfrm>
          <a:off x="2428874" y="152401"/>
          <a:ext cx="1876426" cy="45720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BE" sz="1100" b="1">
              <a:solidFill>
                <a:srgbClr val="00B050"/>
              </a:solidFill>
            </a:rPr>
            <a:t>Ontvangsten December</a:t>
          </a:r>
          <a:r>
            <a:rPr lang="nl-BE" sz="1100" b="1" baseline="0">
              <a:solidFill>
                <a:srgbClr val="00B050"/>
              </a:solidFill>
            </a:rPr>
            <a:t> 2025 Btw BE0479.048.950</a:t>
          </a:r>
          <a:endParaRPr lang="nl-BE" sz="1100" b="1">
            <a:solidFill>
              <a:srgbClr val="00B050"/>
            </a:solidFill>
          </a:endParaRPr>
        </a:p>
      </xdr:txBody>
    </xdr:sp>
    <xdr:clientData/>
  </xdr:twoCellAnchor>
  <xdr:twoCellAnchor editAs="oneCell">
    <xdr:from>
      <xdr:col>5</xdr:col>
      <xdr:colOff>151811</xdr:colOff>
      <xdr:row>0</xdr:row>
      <xdr:rowOff>66675</xdr:rowOff>
    </xdr:from>
    <xdr:to>
      <xdr:col>5</xdr:col>
      <xdr:colOff>917575</xdr:colOff>
      <xdr:row>4</xdr:row>
      <xdr:rowOff>383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CAE6E799-AB57-40F7-9E44-C0658706E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0561" y="66675"/>
          <a:ext cx="765764" cy="69570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58DA4-630F-4952-8EDB-0E5DF608FDCA}">
  <dimension ref="A4:F41"/>
  <sheetViews>
    <sheetView zoomScaleNormal="100" workbookViewId="0">
      <selection activeCell="F36" sqref="F36"/>
    </sheetView>
  </sheetViews>
  <sheetFormatPr defaultRowHeight="15" x14ac:dyDescent="0.25"/>
  <cols>
    <col min="1" max="6" width="15.7109375" style="3" customWidth="1"/>
    <col min="7" max="16384" width="9.140625" style="4"/>
  </cols>
  <sheetData>
    <row r="4" spans="1:6" ht="15.75" thickBot="1" x14ac:dyDescent="0.3"/>
    <row r="5" spans="1:6" ht="16.5" thickTop="1" thickBot="1" x14ac:dyDescent="0.3">
      <c r="A5" s="11" t="s">
        <v>3</v>
      </c>
      <c r="B5" s="11" t="s">
        <v>4</v>
      </c>
      <c r="C5" s="11" t="s">
        <v>0</v>
      </c>
      <c r="D5" s="11">
        <v>6</v>
      </c>
      <c r="E5" s="11">
        <v>12</v>
      </c>
      <c r="F5" s="11">
        <v>21</v>
      </c>
    </row>
    <row r="6" spans="1:6" ht="16.5" thickTop="1" thickBot="1" x14ac:dyDescent="0.3">
      <c r="A6" s="5">
        <v>45658</v>
      </c>
      <c r="B6" s="6"/>
      <c r="C6" s="7">
        <v>507.1</v>
      </c>
      <c r="D6" s="7">
        <v>236.7</v>
      </c>
      <c r="E6" s="7">
        <v>216.6</v>
      </c>
      <c r="F6" s="7">
        <v>53.8</v>
      </c>
    </row>
    <row r="7" spans="1:6" ht="16.5" thickTop="1" thickBot="1" x14ac:dyDescent="0.3">
      <c r="A7" s="5">
        <v>45659</v>
      </c>
      <c r="B7" s="6"/>
      <c r="C7" s="7">
        <v>393</v>
      </c>
      <c r="D7" s="7">
        <v>189</v>
      </c>
      <c r="E7" s="7">
        <v>176</v>
      </c>
      <c r="F7" s="7">
        <v>28</v>
      </c>
    </row>
    <row r="8" spans="1:6" ht="16.5" thickTop="1" thickBot="1" x14ac:dyDescent="0.3">
      <c r="A8" s="5">
        <v>45660</v>
      </c>
      <c r="B8" s="6"/>
      <c r="C8" s="7">
        <v>442.1</v>
      </c>
      <c r="D8" s="7">
        <v>360.85</v>
      </c>
      <c r="E8" s="7">
        <v>67.849999999999994</v>
      </c>
      <c r="F8" s="7">
        <v>13.4</v>
      </c>
    </row>
    <row r="9" spans="1:6" ht="16.5" thickTop="1" thickBot="1" x14ac:dyDescent="0.3">
      <c r="A9" s="5">
        <v>45661</v>
      </c>
      <c r="B9" s="6"/>
      <c r="C9" s="7">
        <v>997.2</v>
      </c>
      <c r="D9" s="7">
        <v>429.2</v>
      </c>
      <c r="E9" s="7">
        <v>449.5</v>
      </c>
      <c r="F9" s="7">
        <v>118.5</v>
      </c>
    </row>
    <row r="10" spans="1:6" ht="16.5" thickTop="1" thickBot="1" x14ac:dyDescent="0.3">
      <c r="A10" s="5">
        <v>45662</v>
      </c>
      <c r="B10" s="6"/>
      <c r="C10" s="7">
        <v>719.7</v>
      </c>
      <c r="D10" s="7">
        <v>336.8</v>
      </c>
      <c r="E10" s="7">
        <v>297</v>
      </c>
      <c r="F10" s="7">
        <v>86.1</v>
      </c>
    </row>
    <row r="11" spans="1:6" ht="16.5" thickTop="1" thickBot="1" x14ac:dyDescent="0.3">
      <c r="A11" s="5">
        <v>45663</v>
      </c>
      <c r="B11" s="6"/>
      <c r="C11" s="7">
        <v>0</v>
      </c>
      <c r="D11" s="7">
        <v>0</v>
      </c>
      <c r="E11" s="7">
        <v>0</v>
      </c>
      <c r="F11" s="7">
        <v>0</v>
      </c>
    </row>
    <row r="12" spans="1:6" ht="16.5" thickTop="1" thickBot="1" x14ac:dyDescent="0.3">
      <c r="A12" s="5">
        <v>45664</v>
      </c>
      <c r="B12" s="6"/>
      <c r="C12" s="7">
        <v>145.55000000000001</v>
      </c>
      <c r="D12" s="7">
        <v>41.85</v>
      </c>
      <c r="E12" s="7">
        <v>84</v>
      </c>
      <c r="F12" s="7">
        <v>19.7</v>
      </c>
    </row>
    <row r="13" spans="1:6" ht="16.5" thickTop="1" thickBot="1" x14ac:dyDescent="0.3">
      <c r="A13" s="5">
        <v>45665</v>
      </c>
      <c r="B13" s="6"/>
      <c r="C13" s="7">
        <v>550.9</v>
      </c>
      <c r="D13" s="7">
        <v>180.9</v>
      </c>
      <c r="E13" s="7">
        <v>241.5</v>
      </c>
      <c r="F13" s="7">
        <v>128.5</v>
      </c>
    </row>
    <row r="14" spans="1:6" ht="16.5" thickTop="1" thickBot="1" x14ac:dyDescent="0.3">
      <c r="A14" s="5">
        <v>45666</v>
      </c>
      <c r="B14" s="6"/>
      <c r="C14" s="7">
        <v>299.75</v>
      </c>
      <c r="D14" s="7">
        <v>265.05</v>
      </c>
      <c r="E14" s="7">
        <v>27</v>
      </c>
      <c r="F14" s="7">
        <v>7.7</v>
      </c>
    </row>
    <row r="15" spans="1:6" ht="16.5" thickTop="1" thickBot="1" x14ac:dyDescent="0.3">
      <c r="A15" s="5">
        <v>45667</v>
      </c>
      <c r="B15" s="6"/>
      <c r="C15" s="7">
        <v>794.2</v>
      </c>
      <c r="D15" s="7">
        <v>400.5</v>
      </c>
      <c r="E15" s="7">
        <v>316.5</v>
      </c>
      <c r="F15" s="7">
        <v>77.2</v>
      </c>
    </row>
    <row r="16" spans="1:6" ht="16.5" thickTop="1" thickBot="1" x14ac:dyDescent="0.3">
      <c r="A16" s="5">
        <v>45668</v>
      </c>
      <c r="B16" s="6"/>
      <c r="C16" s="7">
        <v>966.8</v>
      </c>
      <c r="D16" s="7">
        <v>487.8</v>
      </c>
      <c r="E16" s="7">
        <v>393.5</v>
      </c>
      <c r="F16" s="7">
        <v>85.5</v>
      </c>
    </row>
    <row r="17" spans="1:6" ht="16.5" thickTop="1" thickBot="1" x14ac:dyDescent="0.3">
      <c r="A17" s="5">
        <v>45669</v>
      </c>
      <c r="B17" s="6"/>
      <c r="C17" s="7">
        <v>1176.7</v>
      </c>
      <c r="D17" s="7">
        <v>362.7</v>
      </c>
      <c r="E17" s="7">
        <v>687.5</v>
      </c>
      <c r="F17" s="7">
        <v>126.5</v>
      </c>
    </row>
    <row r="18" spans="1:6" ht="16.5" thickTop="1" thickBot="1" x14ac:dyDescent="0.3">
      <c r="A18" s="5">
        <v>45670</v>
      </c>
      <c r="B18" s="6"/>
      <c r="C18" s="7">
        <v>0</v>
      </c>
      <c r="D18" s="7">
        <v>0</v>
      </c>
      <c r="E18" s="7">
        <v>0</v>
      </c>
      <c r="F18" s="7">
        <v>0</v>
      </c>
    </row>
    <row r="19" spans="1:6" ht="16.5" thickTop="1" thickBot="1" x14ac:dyDescent="0.3">
      <c r="A19" s="5">
        <v>45671</v>
      </c>
      <c r="B19" s="6"/>
      <c r="C19" s="7">
        <v>96.3</v>
      </c>
      <c r="D19" s="7">
        <v>82.8</v>
      </c>
      <c r="E19" s="7">
        <v>11</v>
      </c>
      <c r="F19" s="7">
        <v>2.5</v>
      </c>
    </row>
    <row r="20" spans="1:6" ht="16.5" thickTop="1" thickBot="1" x14ac:dyDescent="0.3">
      <c r="A20" s="5">
        <v>45672</v>
      </c>
      <c r="B20" s="6"/>
      <c r="C20" s="7">
        <v>337.05</v>
      </c>
      <c r="D20" s="7">
        <v>186.75</v>
      </c>
      <c r="E20" s="7">
        <v>99</v>
      </c>
      <c r="F20" s="7">
        <v>51.3</v>
      </c>
    </row>
    <row r="21" spans="1:6" ht="16.5" thickTop="1" thickBot="1" x14ac:dyDescent="0.3">
      <c r="A21" s="5">
        <v>45673</v>
      </c>
      <c r="B21" s="6"/>
      <c r="C21" s="7">
        <v>132.1</v>
      </c>
      <c r="D21" s="7">
        <v>100.1</v>
      </c>
      <c r="E21" s="7">
        <v>24</v>
      </c>
      <c r="F21" s="7">
        <v>8</v>
      </c>
    </row>
    <row r="22" spans="1:6" ht="16.5" thickTop="1" thickBot="1" x14ac:dyDescent="0.3">
      <c r="A22" s="5">
        <v>45674</v>
      </c>
      <c r="B22" s="6"/>
      <c r="C22" s="7">
        <v>537.95000000000005</v>
      </c>
      <c r="D22" s="7">
        <v>278.8</v>
      </c>
      <c r="E22" s="7">
        <v>215.45</v>
      </c>
      <c r="F22" s="7">
        <v>43.7</v>
      </c>
    </row>
    <row r="23" spans="1:6" ht="16.5" thickTop="1" thickBot="1" x14ac:dyDescent="0.3">
      <c r="A23" s="5">
        <v>45675</v>
      </c>
      <c r="B23" s="6"/>
      <c r="C23" s="7">
        <v>706.45</v>
      </c>
      <c r="D23" s="7">
        <v>409.05</v>
      </c>
      <c r="E23" s="7">
        <v>244</v>
      </c>
      <c r="F23" s="7">
        <v>53.4</v>
      </c>
    </row>
    <row r="24" spans="1:6" ht="16.5" thickTop="1" thickBot="1" x14ac:dyDescent="0.3">
      <c r="A24" s="5">
        <v>45676</v>
      </c>
      <c r="B24" s="6"/>
      <c r="C24" s="7">
        <v>416.65</v>
      </c>
      <c r="D24" s="7">
        <v>232.95</v>
      </c>
      <c r="E24" s="7">
        <v>150.5</v>
      </c>
      <c r="F24" s="7">
        <v>33.200000000000003</v>
      </c>
    </row>
    <row r="25" spans="1:6" ht="16.5" thickTop="1" thickBot="1" x14ac:dyDescent="0.3">
      <c r="A25" s="5">
        <v>45677</v>
      </c>
      <c r="B25" s="6"/>
      <c r="C25" s="7">
        <v>0</v>
      </c>
      <c r="D25" s="7">
        <v>0</v>
      </c>
      <c r="E25" s="7">
        <v>0</v>
      </c>
      <c r="F25" s="7">
        <v>0</v>
      </c>
    </row>
    <row r="26" spans="1:6" ht="16.5" thickTop="1" thickBot="1" x14ac:dyDescent="0.3">
      <c r="A26" s="5">
        <v>45678</v>
      </c>
      <c r="B26" s="6"/>
      <c r="C26" s="7">
        <v>270.85000000000002</v>
      </c>
      <c r="D26" s="7">
        <v>194.85</v>
      </c>
      <c r="E26" s="7">
        <v>66</v>
      </c>
      <c r="F26" s="7">
        <v>10</v>
      </c>
    </row>
    <row r="27" spans="1:6" ht="16.5" thickTop="1" thickBot="1" x14ac:dyDescent="0.3">
      <c r="A27" s="5">
        <v>45679</v>
      </c>
      <c r="B27" s="6"/>
      <c r="C27" s="7">
        <v>386.3</v>
      </c>
      <c r="D27" s="7">
        <v>226.8</v>
      </c>
      <c r="E27" s="7">
        <v>106</v>
      </c>
      <c r="F27" s="7">
        <v>53.5</v>
      </c>
    </row>
    <row r="28" spans="1:6" ht="16.5" thickTop="1" thickBot="1" x14ac:dyDescent="0.3">
      <c r="A28" s="5">
        <v>45680</v>
      </c>
      <c r="B28" s="6"/>
      <c r="C28" s="7">
        <v>188.55</v>
      </c>
      <c r="D28" s="7">
        <v>62.55</v>
      </c>
      <c r="E28" s="7">
        <v>111</v>
      </c>
      <c r="F28" s="7">
        <v>15</v>
      </c>
    </row>
    <row r="29" spans="1:6" ht="16.5" thickTop="1" thickBot="1" x14ac:dyDescent="0.3">
      <c r="A29" s="5">
        <v>45681</v>
      </c>
      <c r="B29" s="6"/>
      <c r="C29" s="7">
        <v>772.6</v>
      </c>
      <c r="D29" s="7">
        <v>252.9</v>
      </c>
      <c r="E29" s="7">
        <v>410.5</v>
      </c>
      <c r="F29" s="7">
        <v>109.2</v>
      </c>
    </row>
    <row r="30" spans="1:6" ht="16.5" thickTop="1" thickBot="1" x14ac:dyDescent="0.3">
      <c r="A30" s="5">
        <v>45682</v>
      </c>
      <c r="B30" s="6"/>
      <c r="C30" s="7">
        <v>1421</v>
      </c>
      <c r="D30" s="7">
        <v>684</v>
      </c>
      <c r="E30" s="7">
        <v>582.5</v>
      </c>
      <c r="F30" s="7">
        <v>154.5</v>
      </c>
    </row>
    <row r="31" spans="1:6" ht="16.5" thickTop="1" thickBot="1" x14ac:dyDescent="0.3">
      <c r="A31" s="5">
        <v>45683</v>
      </c>
      <c r="B31" s="6"/>
      <c r="C31" s="7">
        <v>749.1</v>
      </c>
      <c r="D31" s="7">
        <v>257.39999999999998</v>
      </c>
      <c r="E31" s="7">
        <v>423</v>
      </c>
      <c r="F31" s="7">
        <v>68.7</v>
      </c>
    </row>
    <row r="32" spans="1:6" ht="16.5" thickTop="1" thickBot="1" x14ac:dyDescent="0.3">
      <c r="A32" s="5">
        <v>45684</v>
      </c>
      <c r="B32" s="6"/>
      <c r="C32" s="7">
        <v>0</v>
      </c>
      <c r="D32" s="7">
        <v>0</v>
      </c>
      <c r="E32" s="7">
        <v>0</v>
      </c>
      <c r="F32" s="7">
        <v>0</v>
      </c>
    </row>
    <row r="33" spans="1:6" ht="16.5" thickTop="1" thickBot="1" x14ac:dyDescent="0.3">
      <c r="A33" s="5">
        <v>45685</v>
      </c>
      <c r="B33" s="6"/>
      <c r="C33" s="7">
        <v>318.7</v>
      </c>
      <c r="D33" s="7">
        <v>211.5</v>
      </c>
      <c r="E33" s="7">
        <v>92</v>
      </c>
      <c r="F33" s="7">
        <v>15.2</v>
      </c>
    </row>
    <row r="34" spans="1:6" ht="16.5" thickTop="1" thickBot="1" x14ac:dyDescent="0.3">
      <c r="A34" s="5">
        <v>45686</v>
      </c>
      <c r="B34" s="6"/>
      <c r="C34" s="7">
        <v>179.2</v>
      </c>
      <c r="D34" s="7">
        <v>109.8</v>
      </c>
      <c r="E34" s="7">
        <v>47.5</v>
      </c>
      <c r="F34" s="7">
        <v>21.9</v>
      </c>
    </row>
    <row r="35" spans="1:6" ht="16.5" thickTop="1" thickBot="1" x14ac:dyDescent="0.3">
      <c r="A35" s="5">
        <v>45687</v>
      </c>
      <c r="B35" s="6"/>
      <c r="C35" s="7">
        <v>207.75</v>
      </c>
      <c r="D35" s="7">
        <v>161.55000000000001</v>
      </c>
      <c r="E35" s="7">
        <v>36</v>
      </c>
      <c r="F35" s="7">
        <v>10.199999999999999</v>
      </c>
    </row>
    <row r="36" spans="1:6" ht="16.5" thickTop="1" thickBot="1" x14ac:dyDescent="0.3">
      <c r="A36" s="5">
        <v>45688</v>
      </c>
      <c r="B36" s="6"/>
      <c r="C36" s="7">
        <v>807.5</v>
      </c>
      <c r="D36" s="7">
        <v>476.1</v>
      </c>
      <c r="E36" s="7">
        <v>267</v>
      </c>
      <c r="F36" s="7">
        <v>64.400000000000006</v>
      </c>
    </row>
    <row r="37" spans="1:6" ht="16.5" thickTop="1" thickBot="1" x14ac:dyDescent="0.3">
      <c r="A37" s="16"/>
      <c r="B37" s="2" t="s">
        <v>0</v>
      </c>
      <c r="C37" s="1">
        <f>SUM(C6:C36)</f>
        <v>14521.050000000003</v>
      </c>
      <c r="D37" s="12">
        <f>SUM(D6:D36)</f>
        <v>7219.2500000000009</v>
      </c>
      <c r="E37" s="12">
        <f>SUM(E6:E36)</f>
        <v>5842.4</v>
      </c>
      <c r="F37" s="12">
        <f>SUM(F6:F36)</f>
        <v>1459.6000000000004</v>
      </c>
    </row>
    <row r="38" spans="1:6" ht="16.5" thickTop="1" thickBot="1" x14ac:dyDescent="0.3">
      <c r="A38" s="17"/>
      <c r="B38" s="8" t="s">
        <v>1</v>
      </c>
      <c r="C38" s="18"/>
      <c r="D38" s="13">
        <f>SUM(D37/1.06)</f>
        <v>6810.6132075471705</v>
      </c>
      <c r="E38" s="13">
        <f>SUM(E37/1.12)</f>
        <v>5216.4285714285706</v>
      </c>
      <c r="F38" s="13">
        <f>SUM(F37/1.21)</f>
        <v>1206.2809917355376</v>
      </c>
    </row>
    <row r="39" spans="1:6" ht="16.5" thickTop="1" thickBot="1" x14ac:dyDescent="0.3">
      <c r="A39" s="17"/>
      <c r="B39" s="10" t="s">
        <v>2</v>
      </c>
      <c r="C39" s="19"/>
      <c r="D39" s="14">
        <f>SUM(D38*6%)</f>
        <v>408.63679245283021</v>
      </c>
      <c r="E39" s="14">
        <f>SUM(E38*12%)</f>
        <v>625.97142857142842</v>
      </c>
      <c r="F39" s="14">
        <f>SUM(F38*21%)</f>
        <v>253.31900826446287</v>
      </c>
    </row>
    <row r="40" spans="1:6" ht="16.5" thickTop="1" thickBot="1" x14ac:dyDescent="0.3">
      <c r="A40" s="17"/>
      <c r="B40" s="9" t="s">
        <v>0</v>
      </c>
      <c r="C40" s="20"/>
      <c r="D40" s="15">
        <f>SUM(D38:D39)</f>
        <v>7219.2500000000009</v>
      </c>
      <c r="E40" s="15">
        <f>SUM(E38:E39)</f>
        <v>5842.3999999999987</v>
      </c>
      <c r="F40" s="15">
        <f>SUM(F38:F39)</f>
        <v>1459.6000000000004</v>
      </c>
    </row>
    <row r="41" spans="1:6" ht="15.75" thickTop="1" x14ac:dyDescent="0.25"/>
  </sheetData>
  <mergeCells count="2">
    <mergeCell ref="A37:A40"/>
    <mergeCell ref="C38:C40"/>
  </mergeCells>
  <pageMargins left="0.7" right="0.7" top="0.75" bottom="0.75" header="0.3" footer="0.3"/>
  <pageSetup paperSize="2833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3439-63D6-47E0-8AEA-D9F4BAB9C61F}">
  <dimension ref="A4:F41"/>
  <sheetViews>
    <sheetView workbookViewId="0">
      <selection activeCell="F33" sqref="F33"/>
    </sheetView>
  </sheetViews>
  <sheetFormatPr defaultRowHeight="15" x14ac:dyDescent="0.25"/>
  <cols>
    <col min="1" max="6" width="15.7109375" style="3" customWidth="1"/>
    <col min="7" max="16384" width="9.140625" style="4"/>
  </cols>
  <sheetData>
    <row r="4" spans="1:6" ht="15.75" thickBot="1" x14ac:dyDescent="0.3"/>
    <row r="5" spans="1:6" ht="16.5" thickTop="1" thickBot="1" x14ac:dyDescent="0.3">
      <c r="A5" s="11" t="s">
        <v>3</v>
      </c>
      <c r="B5" s="11" t="s">
        <v>4</v>
      </c>
      <c r="C5" s="11" t="s">
        <v>0</v>
      </c>
      <c r="D5" s="11">
        <v>6</v>
      </c>
      <c r="E5" s="11">
        <v>12</v>
      </c>
      <c r="F5" s="11">
        <v>21</v>
      </c>
    </row>
    <row r="6" spans="1:6" ht="16.5" thickTop="1" thickBot="1" x14ac:dyDescent="0.3">
      <c r="A6" s="5">
        <v>45689</v>
      </c>
      <c r="B6" s="6"/>
      <c r="C6" s="7">
        <v>730.1</v>
      </c>
      <c r="D6" s="7">
        <v>308.7</v>
      </c>
      <c r="E6" s="7">
        <v>353.5</v>
      </c>
      <c r="F6" s="7">
        <v>67.900000000000006</v>
      </c>
    </row>
    <row r="7" spans="1:6" ht="16.5" thickTop="1" thickBot="1" x14ac:dyDescent="0.3">
      <c r="A7" s="5">
        <v>45690</v>
      </c>
      <c r="B7" s="6"/>
      <c r="C7" s="7">
        <v>629</v>
      </c>
      <c r="D7" s="7">
        <v>366.1</v>
      </c>
      <c r="E7" s="7">
        <v>200.5</v>
      </c>
      <c r="F7" s="7">
        <v>62.4</v>
      </c>
    </row>
    <row r="8" spans="1:6" ht="16.5" thickTop="1" thickBot="1" x14ac:dyDescent="0.3">
      <c r="A8" s="5">
        <v>45691</v>
      </c>
      <c r="B8" s="6"/>
      <c r="C8" s="7">
        <v>0</v>
      </c>
      <c r="D8" s="7">
        <v>0</v>
      </c>
      <c r="E8" s="7">
        <v>0</v>
      </c>
      <c r="F8" s="7">
        <v>0</v>
      </c>
    </row>
    <row r="9" spans="1:6" ht="16.5" thickTop="1" thickBot="1" x14ac:dyDescent="0.3">
      <c r="A9" s="5">
        <v>45692</v>
      </c>
      <c r="B9" s="6"/>
      <c r="C9" s="7">
        <v>435.8</v>
      </c>
      <c r="D9" s="7">
        <v>37.799999999999997</v>
      </c>
      <c r="E9" s="7">
        <v>332.5</v>
      </c>
      <c r="F9" s="7">
        <v>65.5</v>
      </c>
    </row>
    <row r="10" spans="1:6" ht="16.5" thickTop="1" thickBot="1" x14ac:dyDescent="0.3">
      <c r="A10" s="5">
        <v>45693</v>
      </c>
      <c r="B10" s="6"/>
      <c r="C10" s="7">
        <v>400.85</v>
      </c>
      <c r="D10" s="7">
        <v>201.15</v>
      </c>
      <c r="E10" s="7">
        <v>148</v>
      </c>
      <c r="F10" s="7">
        <v>51.7</v>
      </c>
    </row>
    <row r="11" spans="1:6" ht="16.5" thickTop="1" thickBot="1" x14ac:dyDescent="0.3">
      <c r="A11" s="5">
        <v>45694</v>
      </c>
      <c r="B11" s="6"/>
      <c r="C11" s="7">
        <v>287.89999999999998</v>
      </c>
      <c r="D11" s="7">
        <v>203.4</v>
      </c>
      <c r="E11" s="7">
        <v>73</v>
      </c>
      <c r="F11" s="7">
        <v>11.5</v>
      </c>
    </row>
    <row r="12" spans="1:6" ht="16.5" thickTop="1" thickBot="1" x14ac:dyDescent="0.3">
      <c r="A12" s="5">
        <v>45695</v>
      </c>
      <c r="B12" s="6"/>
      <c r="C12" s="7">
        <v>836.65</v>
      </c>
      <c r="D12" s="7">
        <v>579.15</v>
      </c>
      <c r="E12" s="7">
        <v>215.15</v>
      </c>
      <c r="F12" s="7">
        <v>42.35</v>
      </c>
    </row>
    <row r="13" spans="1:6" ht="16.5" thickTop="1" thickBot="1" x14ac:dyDescent="0.3">
      <c r="A13" s="5">
        <v>45696</v>
      </c>
      <c r="B13" s="6"/>
      <c r="C13" s="7">
        <v>928.3</v>
      </c>
      <c r="D13" s="7">
        <v>606.6</v>
      </c>
      <c r="E13" s="7">
        <v>274.2</v>
      </c>
      <c r="F13" s="7">
        <v>47.5</v>
      </c>
    </row>
    <row r="14" spans="1:6" ht="16.5" thickTop="1" thickBot="1" x14ac:dyDescent="0.3">
      <c r="A14" s="5">
        <v>45697</v>
      </c>
      <c r="B14" s="6"/>
      <c r="C14" s="7">
        <v>786.4</v>
      </c>
      <c r="D14" s="7">
        <v>383.4</v>
      </c>
      <c r="E14" s="7">
        <v>324</v>
      </c>
      <c r="F14" s="7">
        <v>79</v>
      </c>
    </row>
    <row r="15" spans="1:6" ht="16.5" thickTop="1" thickBot="1" x14ac:dyDescent="0.3">
      <c r="A15" s="5">
        <v>45698</v>
      </c>
      <c r="B15" s="6"/>
      <c r="C15" s="7">
        <v>0</v>
      </c>
      <c r="D15" s="7">
        <v>0</v>
      </c>
      <c r="E15" s="7">
        <v>0</v>
      </c>
      <c r="F15" s="7">
        <v>0</v>
      </c>
    </row>
    <row r="16" spans="1:6" ht="16.5" thickTop="1" thickBot="1" x14ac:dyDescent="0.3">
      <c r="A16" s="5">
        <v>45699</v>
      </c>
      <c r="B16" s="6"/>
      <c r="C16" s="7">
        <v>161.80000000000001</v>
      </c>
      <c r="D16" s="7">
        <v>100.8</v>
      </c>
      <c r="E16" s="7">
        <v>49</v>
      </c>
      <c r="F16" s="7">
        <v>12</v>
      </c>
    </row>
    <row r="17" spans="1:6" ht="16.5" thickTop="1" thickBot="1" x14ac:dyDescent="0.3">
      <c r="A17" s="5">
        <v>45700</v>
      </c>
      <c r="B17" s="6"/>
      <c r="C17" s="7">
        <v>147.30000000000001</v>
      </c>
      <c r="D17" s="7">
        <v>46.8</v>
      </c>
      <c r="E17" s="7">
        <v>83</v>
      </c>
      <c r="F17" s="7">
        <v>17.5</v>
      </c>
    </row>
    <row r="18" spans="1:6" ht="16.5" thickTop="1" thickBot="1" x14ac:dyDescent="0.3">
      <c r="A18" s="5">
        <v>45701</v>
      </c>
      <c r="B18" s="6"/>
      <c r="C18" s="7">
        <v>191.5</v>
      </c>
      <c r="D18" s="7">
        <v>108</v>
      </c>
      <c r="E18" s="7">
        <v>71</v>
      </c>
      <c r="F18" s="7">
        <v>12.5</v>
      </c>
    </row>
    <row r="19" spans="1:6" ht="16.5" thickTop="1" thickBot="1" x14ac:dyDescent="0.3">
      <c r="A19" s="5">
        <v>45702</v>
      </c>
      <c r="B19" s="6"/>
      <c r="C19" s="7">
        <v>767.9</v>
      </c>
      <c r="D19" s="7">
        <v>357.3</v>
      </c>
      <c r="E19" s="7">
        <v>333</v>
      </c>
      <c r="F19" s="7">
        <v>77.599999999999994</v>
      </c>
    </row>
    <row r="20" spans="1:6" ht="16.5" thickTop="1" thickBot="1" x14ac:dyDescent="0.3">
      <c r="A20" s="5">
        <v>45703</v>
      </c>
      <c r="B20" s="6"/>
      <c r="C20" s="7">
        <v>806.15</v>
      </c>
      <c r="D20" s="7">
        <v>274.14999999999998</v>
      </c>
      <c r="E20" s="7">
        <v>455.5</v>
      </c>
      <c r="F20" s="7">
        <v>76.5</v>
      </c>
    </row>
    <row r="21" spans="1:6" ht="16.5" thickTop="1" thickBot="1" x14ac:dyDescent="0.3">
      <c r="A21" s="5">
        <v>45704</v>
      </c>
      <c r="B21" s="6"/>
      <c r="C21" s="7">
        <v>679.5</v>
      </c>
      <c r="D21" s="7">
        <v>500.9</v>
      </c>
      <c r="E21" s="7">
        <v>124</v>
      </c>
      <c r="F21" s="7">
        <v>54.6</v>
      </c>
    </row>
    <row r="22" spans="1:6" ht="16.5" thickTop="1" thickBot="1" x14ac:dyDescent="0.3">
      <c r="A22" s="5">
        <v>45705</v>
      </c>
      <c r="B22" s="6"/>
      <c r="C22" s="7">
        <v>0</v>
      </c>
      <c r="D22" s="7">
        <v>0</v>
      </c>
      <c r="E22" s="7">
        <v>0</v>
      </c>
      <c r="F22" s="7">
        <v>0</v>
      </c>
    </row>
    <row r="23" spans="1:6" ht="16.5" thickTop="1" thickBot="1" x14ac:dyDescent="0.3">
      <c r="A23" s="5">
        <v>45706</v>
      </c>
      <c r="B23" s="6"/>
      <c r="C23" s="7">
        <v>426.9</v>
      </c>
      <c r="D23" s="7">
        <v>114.9</v>
      </c>
      <c r="E23" s="7">
        <v>259</v>
      </c>
      <c r="F23" s="7">
        <v>53</v>
      </c>
    </row>
    <row r="24" spans="1:6" ht="16.5" thickTop="1" thickBot="1" x14ac:dyDescent="0.3">
      <c r="A24" s="5">
        <v>45707</v>
      </c>
      <c r="B24" s="6"/>
      <c r="C24" s="7">
        <v>282.75</v>
      </c>
      <c r="D24" s="7">
        <v>176.85</v>
      </c>
      <c r="E24" s="7">
        <v>81</v>
      </c>
      <c r="F24" s="7">
        <v>24.9</v>
      </c>
    </row>
    <row r="25" spans="1:6" ht="16.5" thickTop="1" thickBot="1" x14ac:dyDescent="0.3">
      <c r="A25" s="5">
        <v>45708</v>
      </c>
      <c r="B25" s="6"/>
      <c r="C25" s="7">
        <v>333.05</v>
      </c>
      <c r="D25" s="7">
        <v>220.05</v>
      </c>
      <c r="E25" s="7">
        <v>81</v>
      </c>
      <c r="F25" s="7">
        <v>32</v>
      </c>
    </row>
    <row r="26" spans="1:6" ht="16.5" thickTop="1" thickBot="1" x14ac:dyDescent="0.3">
      <c r="A26" s="5">
        <v>45709</v>
      </c>
      <c r="B26" s="6"/>
      <c r="C26" s="7">
        <v>552.20000000000005</v>
      </c>
      <c r="D26" s="7">
        <v>258.3</v>
      </c>
      <c r="E26" s="7">
        <v>245</v>
      </c>
      <c r="F26" s="7">
        <v>48.9</v>
      </c>
    </row>
    <row r="27" spans="1:6" ht="16.5" thickTop="1" thickBot="1" x14ac:dyDescent="0.3">
      <c r="A27" s="5">
        <v>45710</v>
      </c>
      <c r="B27" s="6"/>
      <c r="C27" s="7">
        <v>700.6</v>
      </c>
      <c r="D27" s="7">
        <v>412.2</v>
      </c>
      <c r="E27" s="7">
        <v>245.5</v>
      </c>
      <c r="F27" s="7">
        <v>42.9</v>
      </c>
    </row>
    <row r="28" spans="1:6" ht="16.5" thickTop="1" thickBot="1" x14ac:dyDescent="0.3">
      <c r="A28" s="5">
        <v>45711</v>
      </c>
      <c r="B28" s="6"/>
      <c r="C28" s="7">
        <v>1151.5</v>
      </c>
      <c r="D28" s="7">
        <v>636.29999999999995</v>
      </c>
      <c r="E28" s="7">
        <v>382</v>
      </c>
      <c r="F28" s="7">
        <v>133.19999999999999</v>
      </c>
    </row>
    <row r="29" spans="1:6" ht="16.5" thickTop="1" thickBot="1" x14ac:dyDescent="0.3">
      <c r="A29" s="5">
        <v>45712</v>
      </c>
      <c r="B29" s="6"/>
      <c r="C29" s="7">
        <v>0</v>
      </c>
      <c r="D29" s="7">
        <v>0</v>
      </c>
      <c r="E29" s="7">
        <v>0</v>
      </c>
      <c r="F29" s="7">
        <v>0</v>
      </c>
    </row>
    <row r="30" spans="1:6" ht="16.5" thickTop="1" thickBot="1" x14ac:dyDescent="0.3">
      <c r="A30" s="5">
        <v>45713</v>
      </c>
      <c r="B30" s="6"/>
      <c r="C30" s="7">
        <v>142.25</v>
      </c>
      <c r="D30" s="7">
        <v>53.55</v>
      </c>
      <c r="E30" s="7">
        <v>65</v>
      </c>
      <c r="F30" s="7">
        <v>23.7</v>
      </c>
    </row>
    <row r="31" spans="1:6" ht="16.5" thickTop="1" thickBot="1" x14ac:dyDescent="0.3">
      <c r="A31" s="5">
        <v>45714</v>
      </c>
      <c r="B31" s="6"/>
      <c r="C31" s="7">
        <v>679</v>
      </c>
      <c r="D31" s="7">
        <v>234.9</v>
      </c>
      <c r="E31" s="7">
        <v>360</v>
      </c>
      <c r="F31" s="7">
        <v>84.1</v>
      </c>
    </row>
    <row r="32" spans="1:6" ht="16.5" thickTop="1" thickBot="1" x14ac:dyDescent="0.3">
      <c r="A32" s="5">
        <v>45715</v>
      </c>
      <c r="B32" s="6"/>
      <c r="C32" s="7">
        <v>262.89999999999998</v>
      </c>
      <c r="D32" s="7">
        <v>99.9</v>
      </c>
      <c r="E32" s="7">
        <v>143</v>
      </c>
      <c r="F32" s="7">
        <v>20</v>
      </c>
    </row>
    <row r="33" spans="1:6" ht="16.5" thickTop="1" thickBot="1" x14ac:dyDescent="0.3">
      <c r="A33" s="5">
        <v>45716</v>
      </c>
      <c r="B33" s="6"/>
      <c r="C33" s="7">
        <v>723.45</v>
      </c>
      <c r="D33" s="7">
        <v>335.25</v>
      </c>
      <c r="E33" s="7">
        <v>319</v>
      </c>
      <c r="F33" s="7">
        <v>69.2</v>
      </c>
    </row>
    <row r="34" spans="1:6" ht="16.5" thickTop="1" thickBot="1" x14ac:dyDescent="0.3">
      <c r="A34" s="5"/>
      <c r="B34" s="6"/>
      <c r="C34" s="7"/>
      <c r="D34" s="7"/>
      <c r="E34" s="7"/>
      <c r="F34" s="7"/>
    </row>
    <row r="35" spans="1:6" ht="16.5" thickTop="1" thickBot="1" x14ac:dyDescent="0.3">
      <c r="A35" s="5"/>
      <c r="B35" s="6"/>
      <c r="C35" s="7"/>
      <c r="D35" s="7"/>
      <c r="E35" s="7"/>
      <c r="F35" s="7"/>
    </row>
    <row r="36" spans="1:6" ht="16.5" thickTop="1" thickBot="1" x14ac:dyDescent="0.3">
      <c r="A36" s="5"/>
      <c r="B36" s="6"/>
      <c r="C36" s="7"/>
      <c r="D36" s="7"/>
      <c r="E36" s="7"/>
      <c r="F36" s="7"/>
    </row>
    <row r="37" spans="1:6" ht="16.5" thickTop="1" thickBot="1" x14ac:dyDescent="0.3">
      <c r="A37" s="16"/>
      <c r="B37" s="2" t="s">
        <v>0</v>
      </c>
      <c r="C37" s="1">
        <f>SUM(C6:C36)</f>
        <v>13043.75</v>
      </c>
      <c r="D37" s="12">
        <f>SUM(D6:D36)</f>
        <v>6616.4500000000007</v>
      </c>
      <c r="E37" s="12">
        <f>SUM(E6:E36)</f>
        <v>5216.8500000000004</v>
      </c>
      <c r="F37" s="12">
        <f>SUM(F6:F36)</f>
        <v>1210.45</v>
      </c>
    </row>
    <row r="38" spans="1:6" ht="16.5" thickTop="1" thickBot="1" x14ac:dyDescent="0.3">
      <c r="A38" s="17"/>
      <c r="B38" s="8" t="s">
        <v>1</v>
      </c>
      <c r="C38" s="18"/>
      <c r="D38" s="13">
        <f>SUM(D37/1.06)</f>
        <v>6241.933962264151</v>
      </c>
      <c r="E38" s="13">
        <f>SUM(E37/1.12)</f>
        <v>4657.9017857142853</v>
      </c>
      <c r="F38" s="13">
        <f>SUM(F37/1.21)</f>
        <v>1000.3719008264463</v>
      </c>
    </row>
    <row r="39" spans="1:6" ht="16.5" thickTop="1" thickBot="1" x14ac:dyDescent="0.3">
      <c r="A39" s="17"/>
      <c r="B39" s="10" t="s">
        <v>2</v>
      </c>
      <c r="C39" s="19"/>
      <c r="D39" s="14">
        <f>SUM(D38*6%)</f>
        <v>374.51603773584907</v>
      </c>
      <c r="E39" s="14">
        <f>SUM(E38*12%)</f>
        <v>558.94821428571424</v>
      </c>
      <c r="F39" s="14">
        <f>SUM(F38*21%)</f>
        <v>210.07809917355371</v>
      </c>
    </row>
    <row r="40" spans="1:6" ht="16.5" thickTop="1" thickBot="1" x14ac:dyDescent="0.3">
      <c r="A40" s="17"/>
      <c r="B40" s="9" t="s">
        <v>0</v>
      </c>
      <c r="C40" s="20"/>
      <c r="D40" s="15">
        <f>SUM(D38:D39)</f>
        <v>6616.45</v>
      </c>
      <c r="E40" s="15">
        <f>SUM(E38:E39)</f>
        <v>5216.8499999999995</v>
      </c>
      <c r="F40" s="15">
        <f>SUM(F38:F39)</f>
        <v>1210.45</v>
      </c>
    </row>
    <row r="41" spans="1:6" ht="15.75" thickTop="1" x14ac:dyDescent="0.25"/>
  </sheetData>
  <mergeCells count="2">
    <mergeCell ref="A37:A40"/>
    <mergeCell ref="C38:C4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7485-74FD-4D17-91A1-1AE7719C7FE6}">
  <dimension ref="A4:F41"/>
  <sheetViews>
    <sheetView workbookViewId="0">
      <selection activeCell="F35" sqref="F35"/>
    </sheetView>
  </sheetViews>
  <sheetFormatPr defaultRowHeight="15" x14ac:dyDescent="0.25"/>
  <cols>
    <col min="1" max="6" width="15.7109375" style="3" customWidth="1"/>
    <col min="7" max="16384" width="9.140625" style="4"/>
  </cols>
  <sheetData>
    <row r="4" spans="1:6" ht="15.75" thickBot="1" x14ac:dyDescent="0.3"/>
    <row r="5" spans="1:6" ht="16.5" thickTop="1" thickBot="1" x14ac:dyDescent="0.3">
      <c r="A5" s="11" t="s">
        <v>3</v>
      </c>
      <c r="B5" s="11" t="s">
        <v>4</v>
      </c>
      <c r="C5" s="11" t="s">
        <v>0</v>
      </c>
      <c r="D5" s="11">
        <v>6</v>
      </c>
      <c r="E5" s="11">
        <v>12</v>
      </c>
      <c r="F5" s="11">
        <v>21</v>
      </c>
    </row>
    <row r="6" spans="1:6" ht="16.5" thickTop="1" thickBot="1" x14ac:dyDescent="0.3">
      <c r="A6" s="5">
        <v>45717</v>
      </c>
      <c r="B6" s="6"/>
      <c r="C6" s="7">
        <v>1165.0999999999999</v>
      </c>
      <c r="D6" s="7">
        <v>771.3</v>
      </c>
      <c r="E6" s="7">
        <v>299.5</v>
      </c>
      <c r="F6" s="7">
        <v>94.3</v>
      </c>
    </row>
    <row r="7" spans="1:6" ht="16.5" thickTop="1" thickBot="1" x14ac:dyDescent="0.3">
      <c r="A7" s="5">
        <v>45718</v>
      </c>
      <c r="B7" s="6"/>
      <c r="C7" s="7">
        <v>965.4</v>
      </c>
      <c r="D7" s="7">
        <v>400.3</v>
      </c>
      <c r="E7" s="7">
        <v>459</v>
      </c>
      <c r="F7" s="7">
        <v>106.1</v>
      </c>
    </row>
    <row r="8" spans="1:6" ht="16.5" thickTop="1" thickBot="1" x14ac:dyDescent="0.3">
      <c r="A8" s="5">
        <v>45719</v>
      </c>
      <c r="B8" s="6"/>
      <c r="C8" s="7">
        <v>0</v>
      </c>
      <c r="D8" s="7">
        <v>0</v>
      </c>
      <c r="E8" s="7">
        <v>0</v>
      </c>
      <c r="F8" s="7">
        <v>0</v>
      </c>
    </row>
    <row r="9" spans="1:6" ht="16.5" thickTop="1" thickBot="1" x14ac:dyDescent="0.3">
      <c r="A9" s="5">
        <v>45720</v>
      </c>
      <c r="B9" s="6"/>
      <c r="C9" s="7">
        <v>284.75</v>
      </c>
      <c r="D9" s="7">
        <v>53.55</v>
      </c>
      <c r="E9" s="7">
        <v>195.5</v>
      </c>
      <c r="F9" s="7">
        <v>35.700000000000003</v>
      </c>
    </row>
    <row r="10" spans="1:6" ht="16.5" thickTop="1" thickBot="1" x14ac:dyDescent="0.3">
      <c r="A10" s="5">
        <v>45721</v>
      </c>
      <c r="B10" s="6"/>
      <c r="C10" s="7">
        <v>552.04999999999995</v>
      </c>
      <c r="D10" s="7">
        <v>260.55</v>
      </c>
      <c r="E10" s="7">
        <v>251</v>
      </c>
      <c r="F10" s="7">
        <v>40.5</v>
      </c>
    </row>
    <row r="11" spans="1:6" ht="16.5" thickTop="1" thickBot="1" x14ac:dyDescent="0.3">
      <c r="A11" s="5">
        <v>45722</v>
      </c>
      <c r="B11" s="6"/>
      <c r="C11" s="7">
        <v>232.65</v>
      </c>
      <c r="D11" s="7">
        <v>48.15</v>
      </c>
      <c r="E11" s="7">
        <v>156</v>
      </c>
      <c r="F11" s="7">
        <v>28.5</v>
      </c>
    </row>
    <row r="12" spans="1:6" ht="16.5" thickTop="1" thickBot="1" x14ac:dyDescent="0.3">
      <c r="A12" s="5">
        <v>45723</v>
      </c>
      <c r="B12" s="6"/>
      <c r="C12" s="7">
        <v>1315.9</v>
      </c>
      <c r="D12" s="7">
        <v>606.29999999999995</v>
      </c>
      <c r="E12" s="7">
        <v>537</v>
      </c>
      <c r="F12" s="7">
        <v>172.6</v>
      </c>
    </row>
    <row r="13" spans="1:6" ht="16.5" thickTop="1" thickBot="1" x14ac:dyDescent="0.3">
      <c r="A13" s="5">
        <v>45724</v>
      </c>
      <c r="B13" s="6"/>
      <c r="C13" s="7">
        <v>1048.9000000000001</v>
      </c>
      <c r="D13" s="7">
        <v>391.5</v>
      </c>
      <c r="E13" s="7">
        <v>547.5</v>
      </c>
      <c r="F13" s="7">
        <v>109.9</v>
      </c>
    </row>
    <row r="14" spans="1:6" ht="16.5" thickTop="1" thickBot="1" x14ac:dyDescent="0.3">
      <c r="A14" s="5">
        <v>45725</v>
      </c>
      <c r="B14" s="6"/>
      <c r="C14" s="7">
        <v>1042.25</v>
      </c>
      <c r="D14" s="7">
        <v>375.75</v>
      </c>
      <c r="E14" s="7">
        <v>493.5</v>
      </c>
      <c r="F14" s="7">
        <v>173</v>
      </c>
    </row>
    <row r="15" spans="1:6" ht="16.5" thickTop="1" thickBot="1" x14ac:dyDescent="0.3">
      <c r="A15" s="5">
        <v>45726</v>
      </c>
      <c r="B15" s="6"/>
      <c r="C15" s="7">
        <v>0</v>
      </c>
      <c r="D15" s="7">
        <v>0</v>
      </c>
      <c r="E15" s="7">
        <v>0</v>
      </c>
      <c r="F15" s="7">
        <v>0</v>
      </c>
    </row>
    <row r="16" spans="1:6" ht="16.5" thickTop="1" thickBot="1" x14ac:dyDescent="0.3">
      <c r="A16" s="5">
        <v>45727</v>
      </c>
      <c r="B16" s="6"/>
      <c r="C16" s="7">
        <v>135.85</v>
      </c>
      <c r="D16" s="7">
        <v>58.15</v>
      </c>
      <c r="E16" s="7">
        <v>62</v>
      </c>
      <c r="F16" s="7">
        <v>15.7</v>
      </c>
    </row>
    <row r="17" spans="1:6" ht="16.5" thickTop="1" thickBot="1" x14ac:dyDescent="0.3">
      <c r="A17" s="5">
        <v>45728</v>
      </c>
      <c r="B17" s="6"/>
      <c r="C17" s="7">
        <v>424.15</v>
      </c>
      <c r="D17" s="7">
        <v>241.65</v>
      </c>
      <c r="E17" s="7">
        <v>139.5</v>
      </c>
      <c r="F17" s="7">
        <v>43</v>
      </c>
    </row>
    <row r="18" spans="1:6" ht="16.5" thickTop="1" thickBot="1" x14ac:dyDescent="0.3">
      <c r="A18" s="5">
        <v>45729</v>
      </c>
      <c r="B18" s="6"/>
      <c r="C18" s="7">
        <v>211.7</v>
      </c>
      <c r="D18" s="7">
        <v>169.2</v>
      </c>
      <c r="E18" s="7">
        <v>35</v>
      </c>
      <c r="F18" s="7">
        <v>7.5</v>
      </c>
    </row>
    <row r="19" spans="1:6" ht="16.5" thickTop="1" thickBot="1" x14ac:dyDescent="0.3">
      <c r="A19" s="5">
        <v>45730</v>
      </c>
      <c r="B19" s="6"/>
      <c r="C19" s="7">
        <v>569.79999999999995</v>
      </c>
      <c r="D19" s="7">
        <v>506.6</v>
      </c>
      <c r="E19" s="7">
        <v>48</v>
      </c>
      <c r="F19" s="7">
        <v>15.2</v>
      </c>
    </row>
    <row r="20" spans="1:6" ht="16.5" thickTop="1" thickBot="1" x14ac:dyDescent="0.3">
      <c r="A20" s="5">
        <v>45731</v>
      </c>
      <c r="B20" s="6"/>
      <c r="C20" s="7">
        <v>629.20000000000005</v>
      </c>
      <c r="D20" s="7">
        <v>455</v>
      </c>
      <c r="E20" s="7">
        <v>149</v>
      </c>
      <c r="F20" s="7">
        <v>25.2</v>
      </c>
    </row>
    <row r="21" spans="1:6" ht="16.5" thickTop="1" thickBot="1" x14ac:dyDescent="0.3">
      <c r="A21" s="5">
        <v>45732</v>
      </c>
      <c r="B21" s="6"/>
      <c r="C21" s="7">
        <v>1357.95</v>
      </c>
      <c r="D21" s="7">
        <v>487.95</v>
      </c>
      <c r="E21" s="7">
        <v>601.5</v>
      </c>
      <c r="F21" s="7">
        <v>268.5</v>
      </c>
    </row>
    <row r="22" spans="1:6" ht="16.5" thickTop="1" thickBot="1" x14ac:dyDescent="0.3">
      <c r="A22" s="5">
        <v>45733</v>
      </c>
      <c r="B22" s="6"/>
      <c r="C22" s="7">
        <v>0</v>
      </c>
      <c r="D22" s="7">
        <v>0</v>
      </c>
      <c r="E22" s="7">
        <v>0</v>
      </c>
      <c r="F22" s="7">
        <v>0</v>
      </c>
    </row>
    <row r="23" spans="1:6" ht="16.5" thickTop="1" thickBot="1" x14ac:dyDescent="0.3">
      <c r="A23" s="5">
        <v>45734</v>
      </c>
      <c r="B23" s="6"/>
      <c r="C23" s="7">
        <v>461.75</v>
      </c>
      <c r="D23" s="7">
        <v>94.55</v>
      </c>
      <c r="E23" s="7">
        <v>280</v>
      </c>
      <c r="F23" s="7">
        <v>87.2</v>
      </c>
    </row>
    <row r="24" spans="1:6" ht="16.5" thickTop="1" thickBot="1" x14ac:dyDescent="0.3">
      <c r="A24" s="5">
        <v>45735</v>
      </c>
      <c r="B24" s="6"/>
      <c r="C24" s="7">
        <v>317.64999999999998</v>
      </c>
      <c r="D24" s="7">
        <v>121.45</v>
      </c>
      <c r="E24" s="7">
        <v>166</v>
      </c>
      <c r="F24" s="7">
        <v>30.2</v>
      </c>
    </row>
    <row r="25" spans="1:6" ht="16.5" thickTop="1" thickBot="1" x14ac:dyDescent="0.3">
      <c r="A25" s="5">
        <v>45736</v>
      </c>
      <c r="B25" s="6"/>
      <c r="C25" s="7">
        <v>220.3</v>
      </c>
      <c r="D25" s="7">
        <v>145.80000000000001</v>
      </c>
      <c r="E25" s="7">
        <v>62</v>
      </c>
      <c r="F25" s="7">
        <v>12.5</v>
      </c>
    </row>
    <row r="26" spans="1:6" ht="16.5" thickTop="1" thickBot="1" x14ac:dyDescent="0.3">
      <c r="A26" s="5">
        <v>45737</v>
      </c>
      <c r="B26" s="6"/>
      <c r="C26" s="7">
        <v>511.2</v>
      </c>
      <c r="D26" s="7">
        <v>344.5</v>
      </c>
      <c r="E26" s="7">
        <v>132</v>
      </c>
      <c r="F26" s="7">
        <v>34.700000000000003</v>
      </c>
    </row>
    <row r="27" spans="1:6" ht="16.5" thickTop="1" thickBot="1" x14ac:dyDescent="0.3">
      <c r="A27" s="5">
        <v>45738</v>
      </c>
      <c r="B27" s="6"/>
      <c r="C27" s="7">
        <v>644.9</v>
      </c>
      <c r="D27" s="7">
        <v>324.89999999999998</v>
      </c>
      <c r="E27" s="7">
        <v>265</v>
      </c>
      <c r="F27" s="7">
        <v>55</v>
      </c>
    </row>
    <row r="28" spans="1:6" ht="16.5" thickTop="1" thickBot="1" x14ac:dyDescent="0.3">
      <c r="A28" s="5">
        <v>45739</v>
      </c>
      <c r="B28" s="6"/>
      <c r="C28" s="7">
        <v>885.8</v>
      </c>
      <c r="D28" s="7">
        <v>459.2</v>
      </c>
      <c r="E28" s="7">
        <v>329</v>
      </c>
      <c r="F28" s="7">
        <v>97.6</v>
      </c>
    </row>
    <row r="29" spans="1:6" ht="16.5" thickTop="1" thickBot="1" x14ac:dyDescent="0.3">
      <c r="A29" s="5">
        <v>45740</v>
      </c>
      <c r="B29" s="6"/>
      <c r="C29" s="7">
        <v>0</v>
      </c>
      <c r="D29" s="7">
        <v>0</v>
      </c>
      <c r="E29" s="7">
        <v>0</v>
      </c>
      <c r="F29" s="7">
        <v>0</v>
      </c>
    </row>
    <row r="30" spans="1:6" ht="16.5" thickTop="1" thickBot="1" x14ac:dyDescent="0.3">
      <c r="A30" s="5">
        <v>45741</v>
      </c>
      <c r="B30" s="6"/>
      <c r="C30" s="7">
        <v>345.6</v>
      </c>
      <c r="D30" s="7">
        <v>108.9</v>
      </c>
      <c r="E30" s="7">
        <v>180.5</v>
      </c>
      <c r="F30" s="7">
        <v>56.2</v>
      </c>
    </row>
    <row r="31" spans="1:6" ht="16.5" thickTop="1" thickBot="1" x14ac:dyDescent="0.3">
      <c r="A31" s="5">
        <v>45742</v>
      </c>
      <c r="B31" s="6"/>
      <c r="C31" s="7">
        <v>577.35</v>
      </c>
      <c r="D31" s="7">
        <v>326.25</v>
      </c>
      <c r="E31" s="7">
        <v>203</v>
      </c>
      <c r="F31" s="7">
        <v>48.1</v>
      </c>
    </row>
    <row r="32" spans="1:6" ht="16.5" thickTop="1" thickBot="1" x14ac:dyDescent="0.3">
      <c r="A32" s="5">
        <v>45743</v>
      </c>
      <c r="B32" s="6"/>
      <c r="C32" s="7">
        <v>291.55</v>
      </c>
      <c r="D32" s="7">
        <v>251.55</v>
      </c>
      <c r="E32" s="7">
        <v>31</v>
      </c>
      <c r="F32" s="7">
        <v>9</v>
      </c>
    </row>
    <row r="33" spans="1:6" ht="16.5" thickTop="1" thickBot="1" x14ac:dyDescent="0.3">
      <c r="A33" s="5">
        <v>45744</v>
      </c>
      <c r="B33" s="6"/>
      <c r="C33" s="7">
        <v>794.7</v>
      </c>
      <c r="D33" s="7">
        <v>193.5</v>
      </c>
      <c r="E33" s="7">
        <v>488</v>
      </c>
      <c r="F33" s="7">
        <v>113.2</v>
      </c>
    </row>
    <row r="34" spans="1:6" ht="16.5" thickTop="1" thickBot="1" x14ac:dyDescent="0.3">
      <c r="A34" s="5">
        <v>45745</v>
      </c>
      <c r="B34" s="6"/>
      <c r="C34" s="7">
        <v>863.8</v>
      </c>
      <c r="D34" s="7">
        <v>262.8</v>
      </c>
      <c r="E34" s="7">
        <v>511</v>
      </c>
      <c r="F34" s="7">
        <v>90</v>
      </c>
    </row>
    <row r="35" spans="1:6" ht="16.5" thickTop="1" thickBot="1" x14ac:dyDescent="0.3">
      <c r="A35" s="5">
        <v>45746</v>
      </c>
      <c r="B35" s="6"/>
      <c r="C35" s="7">
        <v>1231.5</v>
      </c>
      <c r="D35" s="7">
        <v>588.6</v>
      </c>
      <c r="E35" s="7">
        <v>521.5</v>
      </c>
      <c r="F35" s="7">
        <v>121.4</v>
      </c>
    </row>
    <row r="36" spans="1:6" ht="16.5" thickTop="1" thickBot="1" x14ac:dyDescent="0.3">
      <c r="A36" s="5">
        <v>45747</v>
      </c>
      <c r="B36" s="6"/>
      <c r="C36" s="7">
        <v>0</v>
      </c>
      <c r="D36" s="7">
        <v>0</v>
      </c>
      <c r="E36" s="7">
        <v>0</v>
      </c>
      <c r="F36" s="7">
        <v>0</v>
      </c>
    </row>
    <row r="37" spans="1:6" ht="16.5" thickTop="1" thickBot="1" x14ac:dyDescent="0.3">
      <c r="A37" s="16"/>
      <c r="B37" s="2" t="s">
        <v>0</v>
      </c>
      <c r="C37" s="1">
        <f>SUM(C6:C36)</f>
        <v>17081.75</v>
      </c>
      <c r="D37" s="12">
        <f>SUM(D6:D36)</f>
        <v>8047.95</v>
      </c>
      <c r="E37" s="12">
        <f>SUM(E6:E36)</f>
        <v>7143</v>
      </c>
      <c r="F37" s="12">
        <f>SUM(F6:F36)</f>
        <v>1890.8000000000002</v>
      </c>
    </row>
    <row r="38" spans="1:6" ht="16.5" thickTop="1" thickBot="1" x14ac:dyDescent="0.3">
      <c r="A38" s="17"/>
      <c r="B38" s="8" t="s">
        <v>1</v>
      </c>
      <c r="C38" s="18"/>
      <c r="D38" s="13">
        <f>SUM(D37/1.06)</f>
        <v>7592.4056603773579</v>
      </c>
      <c r="E38" s="13">
        <f>SUM(E37/1.12)</f>
        <v>6377.6785714285706</v>
      </c>
      <c r="F38" s="13">
        <f>SUM(F37/1.21)</f>
        <v>1562.6446280991738</v>
      </c>
    </row>
    <row r="39" spans="1:6" ht="16.5" thickTop="1" thickBot="1" x14ac:dyDescent="0.3">
      <c r="A39" s="17"/>
      <c r="B39" s="10" t="s">
        <v>2</v>
      </c>
      <c r="C39" s="19"/>
      <c r="D39" s="14">
        <f>SUM(D38*6%)</f>
        <v>455.54433962264147</v>
      </c>
      <c r="E39" s="14">
        <f>SUM(E38*12%)</f>
        <v>765.32142857142844</v>
      </c>
      <c r="F39" s="14">
        <f>SUM(F38*21%)</f>
        <v>328.15537190082648</v>
      </c>
    </row>
    <row r="40" spans="1:6" ht="16.5" thickTop="1" thickBot="1" x14ac:dyDescent="0.3">
      <c r="A40" s="17"/>
      <c r="B40" s="9" t="s">
        <v>0</v>
      </c>
      <c r="C40" s="20"/>
      <c r="D40" s="15">
        <f>SUM(D38:D39)</f>
        <v>8047.9499999999989</v>
      </c>
      <c r="E40" s="15">
        <f>SUM(E38:E39)</f>
        <v>7142.9999999999991</v>
      </c>
      <c r="F40" s="15">
        <f>SUM(F38:F39)</f>
        <v>1890.8000000000002</v>
      </c>
    </row>
    <row r="41" spans="1:6" ht="15.75" thickTop="1" x14ac:dyDescent="0.25"/>
  </sheetData>
  <mergeCells count="2">
    <mergeCell ref="A37:A40"/>
    <mergeCell ref="C38:C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EC53-0850-413B-A436-6060E550F219}">
  <dimension ref="A4:F41"/>
  <sheetViews>
    <sheetView workbookViewId="0">
      <selection activeCell="C36" sqref="C36"/>
    </sheetView>
  </sheetViews>
  <sheetFormatPr defaultRowHeight="15" x14ac:dyDescent="0.25"/>
  <cols>
    <col min="1" max="6" width="15.7109375" style="3" customWidth="1"/>
    <col min="7" max="16384" width="9.140625" style="4"/>
  </cols>
  <sheetData>
    <row r="4" spans="1:6" ht="15.75" thickBot="1" x14ac:dyDescent="0.3"/>
    <row r="5" spans="1:6" ht="16.5" thickTop="1" thickBot="1" x14ac:dyDescent="0.3">
      <c r="A5" s="11" t="s">
        <v>3</v>
      </c>
      <c r="B5" s="11" t="s">
        <v>4</v>
      </c>
      <c r="C5" s="11" t="s">
        <v>0</v>
      </c>
      <c r="D5" s="11">
        <v>6</v>
      </c>
      <c r="E5" s="11">
        <v>12</v>
      </c>
      <c r="F5" s="11">
        <v>21</v>
      </c>
    </row>
    <row r="6" spans="1:6" ht="16.5" thickTop="1" thickBot="1" x14ac:dyDescent="0.3">
      <c r="A6" s="5">
        <v>45748</v>
      </c>
      <c r="B6" s="6"/>
      <c r="C6" s="7">
        <v>348.45</v>
      </c>
      <c r="D6" s="7">
        <v>216.75</v>
      </c>
      <c r="E6" s="7">
        <v>103.5</v>
      </c>
      <c r="F6" s="7">
        <v>28.2</v>
      </c>
    </row>
    <row r="7" spans="1:6" ht="16.5" thickTop="1" thickBot="1" x14ac:dyDescent="0.3">
      <c r="A7" s="5">
        <v>45749</v>
      </c>
      <c r="B7" s="6"/>
      <c r="C7" s="7">
        <v>207.45</v>
      </c>
      <c r="D7" s="7">
        <v>27.45</v>
      </c>
      <c r="E7" s="7">
        <v>154</v>
      </c>
      <c r="F7" s="7">
        <v>26</v>
      </c>
    </row>
    <row r="8" spans="1:6" ht="16.5" thickTop="1" thickBot="1" x14ac:dyDescent="0.3">
      <c r="A8" s="5">
        <v>45750</v>
      </c>
      <c r="B8" s="6"/>
      <c r="C8" s="7">
        <v>339.35</v>
      </c>
      <c r="D8" s="7">
        <v>82.35</v>
      </c>
      <c r="E8" s="7">
        <v>218</v>
      </c>
      <c r="F8" s="7">
        <v>39</v>
      </c>
    </row>
    <row r="9" spans="1:6" ht="16.5" thickTop="1" thickBot="1" x14ac:dyDescent="0.3">
      <c r="A9" s="5">
        <v>45751</v>
      </c>
      <c r="B9" s="6"/>
      <c r="C9" s="7">
        <v>1040.05</v>
      </c>
      <c r="D9" s="7">
        <v>670.95</v>
      </c>
      <c r="E9" s="7">
        <v>276</v>
      </c>
      <c r="F9" s="7">
        <v>93.1</v>
      </c>
    </row>
    <row r="10" spans="1:6" ht="16.5" thickTop="1" thickBot="1" x14ac:dyDescent="0.3">
      <c r="A10" s="5">
        <v>45752</v>
      </c>
      <c r="B10" s="6"/>
      <c r="C10" s="7">
        <v>859.2</v>
      </c>
      <c r="D10" s="7">
        <v>394</v>
      </c>
      <c r="E10" s="7">
        <v>396.5</v>
      </c>
      <c r="F10" s="7">
        <v>68.7</v>
      </c>
    </row>
    <row r="11" spans="1:6" ht="16.5" thickTop="1" thickBot="1" x14ac:dyDescent="0.3">
      <c r="A11" s="5">
        <v>45753</v>
      </c>
      <c r="B11" s="6"/>
      <c r="C11" s="7">
        <v>1264.55</v>
      </c>
      <c r="D11" s="7">
        <v>537.04999999999995</v>
      </c>
      <c r="E11" s="7">
        <v>598</v>
      </c>
      <c r="F11" s="7">
        <v>129.5</v>
      </c>
    </row>
    <row r="12" spans="1:6" ht="16.5" thickTop="1" thickBot="1" x14ac:dyDescent="0.3">
      <c r="A12" s="5">
        <v>45754</v>
      </c>
      <c r="B12" s="6"/>
      <c r="C12" s="7">
        <v>0</v>
      </c>
      <c r="D12" s="7">
        <v>0</v>
      </c>
      <c r="E12" s="7">
        <v>0</v>
      </c>
      <c r="F12" s="7">
        <v>0</v>
      </c>
    </row>
    <row r="13" spans="1:6" ht="16.5" thickTop="1" thickBot="1" x14ac:dyDescent="0.3">
      <c r="A13" s="5">
        <v>45755</v>
      </c>
      <c r="B13" s="6"/>
      <c r="C13" s="7">
        <v>300.89999999999998</v>
      </c>
      <c r="D13" s="7">
        <v>178.2</v>
      </c>
      <c r="E13" s="7">
        <v>92</v>
      </c>
      <c r="F13" s="7">
        <v>30.7</v>
      </c>
    </row>
    <row r="14" spans="1:6" ht="16.5" thickTop="1" thickBot="1" x14ac:dyDescent="0.3">
      <c r="A14" s="5">
        <v>45756</v>
      </c>
      <c r="B14" s="6"/>
      <c r="C14" s="7">
        <v>427.3</v>
      </c>
      <c r="D14" s="7">
        <v>186.3</v>
      </c>
      <c r="E14" s="7">
        <v>178</v>
      </c>
      <c r="F14" s="7">
        <v>63</v>
      </c>
    </row>
    <row r="15" spans="1:6" ht="16.5" thickTop="1" thickBot="1" x14ac:dyDescent="0.3">
      <c r="A15" s="5">
        <v>45757</v>
      </c>
      <c r="B15" s="6"/>
      <c r="C15" s="7">
        <v>441.45</v>
      </c>
      <c r="D15" s="7">
        <v>254.25</v>
      </c>
      <c r="E15" s="7">
        <v>167</v>
      </c>
      <c r="F15" s="7">
        <v>20.2</v>
      </c>
    </row>
    <row r="16" spans="1:6" ht="16.5" thickTop="1" thickBot="1" x14ac:dyDescent="0.3">
      <c r="A16" s="5">
        <v>45758</v>
      </c>
      <c r="B16" s="6"/>
      <c r="C16" s="7">
        <v>639.54999999999995</v>
      </c>
      <c r="D16" s="7">
        <v>323.55</v>
      </c>
      <c r="E16" s="7">
        <v>258</v>
      </c>
      <c r="F16" s="7">
        <v>58</v>
      </c>
    </row>
    <row r="17" spans="1:6" ht="16.5" thickTop="1" thickBot="1" x14ac:dyDescent="0.3">
      <c r="A17" s="5">
        <v>45759</v>
      </c>
      <c r="B17" s="6"/>
      <c r="C17" s="7">
        <v>997.05</v>
      </c>
      <c r="D17" s="7">
        <v>492.55</v>
      </c>
      <c r="E17" s="7">
        <v>419</v>
      </c>
      <c r="F17" s="7">
        <v>85.5</v>
      </c>
    </row>
    <row r="18" spans="1:6" ht="16.5" thickTop="1" thickBot="1" x14ac:dyDescent="0.3">
      <c r="A18" s="5">
        <v>45760</v>
      </c>
      <c r="B18" s="6"/>
      <c r="C18" s="7">
        <v>943.8</v>
      </c>
      <c r="D18" s="7">
        <v>342.9</v>
      </c>
      <c r="E18" s="7">
        <v>467.5</v>
      </c>
      <c r="F18" s="7">
        <v>133.4</v>
      </c>
    </row>
    <row r="19" spans="1:6" ht="16.5" thickTop="1" thickBot="1" x14ac:dyDescent="0.3">
      <c r="A19" s="5">
        <v>45761</v>
      </c>
      <c r="B19" s="6"/>
      <c r="C19" s="7">
        <v>0</v>
      </c>
      <c r="D19" s="7">
        <v>0</v>
      </c>
      <c r="E19" s="7">
        <v>0</v>
      </c>
      <c r="F19" s="7">
        <v>0</v>
      </c>
    </row>
    <row r="20" spans="1:6" ht="16.5" thickTop="1" thickBot="1" x14ac:dyDescent="0.3">
      <c r="A20" s="5">
        <v>45762</v>
      </c>
      <c r="B20" s="6"/>
      <c r="C20" s="7">
        <v>207.15</v>
      </c>
      <c r="D20" s="7">
        <v>85.95</v>
      </c>
      <c r="E20" s="7">
        <v>96</v>
      </c>
      <c r="F20" s="7">
        <v>25.2</v>
      </c>
    </row>
    <row r="21" spans="1:6" ht="16.5" thickTop="1" thickBot="1" x14ac:dyDescent="0.3">
      <c r="A21" s="5">
        <v>45763</v>
      </c>
      <c r="B21" s="6"/>
      <c r="C21" s="7">
        <v>382.7</v>
      </c>
      <c r="D21" s="7">
        <v>175.5</v>
      </c>
      <c r="E21" s="7">
        <v>170</v>
      </c>
      <c r="F21" s="7">
        <v>37.200000000000003</v>
      </c>
    </row>
    <row r="22" spans="1:6" ht="16.5" thickTop="1" thickBot="1" x14ac:dyDescent="0.3">
      <c r="A22" s="5">
        <v>45764</v>
      </c>
      <c r="B22" s="6"/>
      <c r="C22" s="7">
        <v>239.1</v>
      </c>
      <c r="D22" s="7">
        <v>174.6</v>
      </c>
      <c r="E22" s="7">
        <v>50</v>
      </c>
      <c r="F22" s="7">
        <v>14.5</v>
      </c>
    </row>
    <row r="23" spans="1:6" ht="16.5" thickTop="1" thickBot="1" x14ac:dyDescent="0.3">
      <c r="A23" s="5">
        <v>45765</v>
      </c>
      <c r="B23" s="6"/>
      <c r="C23" s="7">
        <v>638.35</v>
      </c>
      <c r="D23" s="7">
        <v>340.65</v>
      </c>
      <c r="E23" s="7">
        <v>257</v>
      </c>
      <c r="F23" s="7">
        <v>40.700000000000003</v>
      </c>
    </row>
    <row r="24" spans="1:6" ht="16.5" thickTop="1" thickBot="1" x14ac:dyDescent="0.3">
      <c r="A24" s="5">
        <v>45766</v>
      </c>
      <c r="B24" s="6"/>
      <c r="C24" s="7">
        <v>709.55</v>
      </c>
      <c r="D24" s="7">
        <v>208.35</v>
      </c>
      <c r="E24" s="7">
        <v>392</v>
      </c>
      <c r="F24" s="7">
        <v>109.2</v>
      </c>
    </row>
    <row r="25" spans="1:6" ht="16.5" thickTop="1" thickBot="1" x14ac:dyDescent="0.3">
      <c r="A25" s="5">
        <v>45767</v>
      </c>
      <c r="B25" s="6"/>
      <c r="C25" s="7">
        <v>994.95</v>
      </c>
      <c r="D25" s="7">
        <v>405.45</v>
      </c>
      <c r="E25" s="7">
        <v>470</v>
      </c>
      <c r="F25" s="7">
        <v>119.5</v>
      </c>
    </row>
    <row r="26" spans="1:6" ht="16.5" thickTop="1" thickBot="1" x14ac:dyDescent="0.3">
      <c r="A26" s="5">
        <v>45768</v>
      </c>
      <c r="B26" s="6"/>
      <c r="C26" s="7">
        <v>957.1</v>
      </c>
      <c r="D26" s="7">
        <v>444.6</v>
      </c>
      <c r="E26" s="7">
        <v>404</v>
      </c>
      <c r="F26" s="7">
        <v>108.5</v>
      </c>
    </row>
    <row r="27" spans="1:6" ht="16.5" thickTop="1" thickBot="1" x14ac:dyDescent="0.3">
      <c r="A27" s="5">
        <v>45769</v>
      </c>
      <c r="B27" s="6"/>
      <c r="C27" s="7">
        <v>300.45</v>
      </c>
      <c r="D27" s="7">
        <v>189.45</v>
      </c>
      <c r="E27" s="7">
        <v>91</v>
      </c>
      <c r="F27" s="7">
        <v>20</v>
      </c>
    </row>
    <row r="28" spans="1:6" ht="16.5" thickTop="1" thickBot="1" x14ac:dyDescent="0.3">
      <c r="A28" s="5">
        <v>45770</v>
      </c>
      <c r="B28" s="6"/>
      <c r="C28" s="7">
        <v>102.15</v>
      </c>
      <c r="D28" s="7">
        <v>102.15</v>
      </c>
      <c r="E28" s="7">
        <v>0</v>
      </c>
      <c r="F28" s="7">
        <v>0</v>
      </c>
    </row>
    <row r="29" spans="1:6" ht="16.5" thickTop="1" thickBot="1" x14ac:dyDescent="0.3">
      <c r="A29" s="5">
        <v>45771</v>
      </c>
      <c r="B29" s="6"/>
      <c r="C29" s="7">
        <v>162.80000000000001</v>
      </c>
      <c r="D29" s="7">
        <v>69.3</v>
      </c>
      <c r="E29" s="7">
        <v>73.5</v>
      </c>
      <c r="F29" s="7">
        <v>20</v>
      </c>
    </row>
    <row r="30" spans="1:6" ht="16.5" thickTop="1" thickBot="1" x14ac:dyDescent="0.3">
      <c r="A30" s="5">
        <v>45772</v>
      </c>
      <c r="B30" s="6"/>
      <c r="C30" s="7">
        <v>538.70000000000005</v>
      </c>
      <c r="D30" s="7">
        <v>258.3</v>
      </c>
      <c r="E30" s="7">
        <v>220</v>
      </c>
      <c r="F30" s="7">
        <v>60.4</v>
      </c>
    </row>
    <row r="31" spans="1:6" ht="16.5" thickTop="1" thickBot="1" x14ac:dyDescent="0.3">
      <c r="A31" s="5">
        <v>45773</v>
      </c>
      <c r="B31" s="6"/>
      <c r="C31" s="7">
        <v>934.95</v>
      </c>
      <c r="D31" s="7">
        <v>355.05</v>
      </c>
      <c r="E31" s="7">
        <v>477.5</v>
      </c>
      <c r="F31" s="7">
        <v>102.4</v>
      </c>
    </row>
    <row r="32" spans="1:6" ht="16.5" thickTop="1" thickBot="1" x14ac:dyDescent="0.3">
      <c r="A32" s="5">
        <v>45774</v>
      </c>
      <c r="B32" s="6"/>
      <c r="C32" s="7">
        <v>1130.1500000000001</v>
      </c>
      <c r="D32" s="7">
        <v>326.95</v>
      </c>
      <c r="E32" s="7">
        <v>597.5</v>
      </c>
      <c r="F32" s="7">
        <v>205.7</v>
      </c>
    </row>
    <row r="33" spans="1:6" ht="16.5" thickTop="1" thickBot="1" x14ac:dyDescent="0.3">
      <c r="A33" s="5">
        <v>45775</v>
      </c>
      <c r="B33" s="6"/>
      <c r="C33" s="7">
        <v>0</v>
      </c>
      <c r="D33" s="7">
        <v>0</v>
      </c>
      <c r="E33" s="7">
        <v>0</v>
      </c>
      <c r="F33" s="7">
        <v>0</v>
      </c>
    </row>
    <row r="34" spans="1:6" ht="16.5" thickTop="1" thickBot="1" x14ac:dyDescent="0.3">
      <c r="A34" s="5">
        <v>45776</v>
      </c>
      <c r="B34" s="6"/>
      <c r="C34" s="7">
        <v>444.75</v>
      </c>
      <c r="D34" s="7">
        <v>193.05</v>
      </c>
      <c r="E34" s="7">
        <v>193</v>
      </c>
      <c r="F34" s="7">
        <v>58.7</v>
      </c>
    </row>
    <row r="35" spans="1:6" ht="16.5" thickTop="1" thickBot="1" x14ac:dyDescent="0.3">
      <c r="A35" s="5">
        <v>45777</v>
      </c>
      <c r="B35" s="6"/>
      <c r="C35" s="7">
        <v>293.45</v>
      </c>
      <c r="D35" s="7">
        <v>230.85</v>
      </c>
      <c r="E35" s="7">
        <v>48.6</v>
      </c>
      <c r="F35" s="7">
        <v>14</v>
      </c>
    </row>
    <row r="36" spans="1:6" ht="16.5" thickTop="1" thickBot="1" x14ac:dyDescent="0.3">
      <c r="A36" s="5"/>
      <c r="B36" s="6"/>
      <c r="C36" s="7"/>
      <c r="D36" s="7"/>
      <c r="E36" s="7"/>
      <c r="F36" s="7"/>
    </row>
    <row r="37" spans="1:6" ht="16.5" thickTop="1" thickBot="1" x14ac:dyDescent="0.3">
      <c r="A37" s="16"/>
      <c r="B37" s="2" t="s">
        <v>0</v>
      </c>
      <c r="C37" s="1">
        <f>SUM(C6:C36)</f>
        <v>15845.400000000003</v>
      </c>
      <c r="D37" s="12">
        <f>SUM(D6:D36)</f>
        <v>7266.5000000000009</v>
      </c>
      <c r="E37" s="12">
        <f>SUM(E6:E36)</f>
        <v>6867.6</v>
      </c>
      <c r="F37" s="12">
        <f>SUM(F6:F36)</f>
        <v>1711.3000000000004</v>
      </c>
    </row>
    <row r="38" spans="1:6" ht="16.5" thickTop="1" thickBot="1" x14ac:dyDescent="0.3">
      <c r="A38" s="17"/>
      <c r="B38" s="8" t="s">
        <v>1</v>
      </c>
      <c r="C38" s="18"/>
      <c r="D38" s="13">
        <f>SUM(D37/1.06)</f>
        <v>6855.1886792452833</v>
      </c>
      <c r="E38" s="13">
        <f>SUM(E37/1.12)</f>
        <v>6131.7857142857138</v>
      </c>
      <c r="F38" s="13">
        <f>SUM(F37/1.21)</f>
        <v>1414.2975206611575</v>
      </c>
    </row>
    <row r="39" spans="1:6" ht="16.5" thickTop="1" thickBot="1" x14ac:dyDescent="0.3">
      <c r="A39" s="17"/>
      <c r="B39" s="10" t="s">
        <v>2</v>
      </c>
      <c r="C39" s="19"/>
      <c r="D39" s="14">
        <f>SUM(D38*6%)</f>
        <v>411.31132075471697</v>
      </c>
      <c r="E39" s="14">
        <f>SUM(E38*12%)</f>
        <v>735.81428571428557</v>
      </c>
      <c r="F39" s="14">
        <f>SUM(F38*21%)</f>
        <v>297.00247933884305</v>
      </c>
    </row>
    <row r="40" spans="1:6" ht="16.5" thickTop="1" thickBot="1" x14ac:dyDescent="0.3">
      <c r="A40" s="17"/>
      <c r="B40" s="9" t="s">
        <v>0</v>
      </c>
      <c r="C40" s="20"/>
      <c r="D40" s="15">
        <f>SUM(D38:D39)</f>
        <v>7266.5</v>
      </c>
      <c r="E40" s="15">
        <f>SUM(E38:E39)</f>
        <v>6867.5999999999995</v>
      </c>
      <c r="F40" s="15">
        <f>SUM(F38:F39)</f>
        <v>1711.3000000000006</v>
      </c>
    </row>
    <row r="41" spans="1:6" ht="15.75" thickTop="1" x14ac:dyDescent="0.25"/>
  </sheetData>
  <mergeCells count="2">
    <mergeCell ref="A37:A40"/>
    <mergeCell ref="C38:C4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0102-F2C3-42E6-90F1-6341397076DF}">
  <dimension ref="A4:F41"/>
  <sheetViews>
    <sheetView workbookViewId="0">
      <selection activeCell="F36" sqref="F36"/>
    </sheetView>
  </sheetViews>
  <sheetFormatPr defaultRowHeight="15" x14ac:dyDescent="0.25"/>
  <cols>
    <col min="1" max="6" width="15.7109375" style="3" customWidth="1"/>
    <col min="7" max="16384" width="9.140625" style="4"/>
  </cols>
  <sheetData>
    <row r="4" spans="1:6" ht="15.75" thickBot="1" x14ac:dyDescent="0.3"/>
    <row r="5" spans="1:6" ht="16.5" thickTop="1" thickBot="1" x14ac:dyDescent="0.3">
      <c r="A5" s="11" t="s">
        <v>3</v>
      </c>
      <c r="B5" s="11" t="s">
        <v>4</v>
      </c>
      <c r="C5" s="11" t="s">
        <v>0</v>
      </c>
      <c r="D5" s="11">
        <v>6</v>
      </c>
      <c r="E5" s="11">
        <v>12</v>
      </c>
      <c r="F5" s="11">
        <v>21</v>
      </c>
    </row>
    <row r="6" spans="1:6" ht="16.5" thickTop="1" thickBot="1" x14ac:dyDescent="0.3">
      <c r="A6" s="5">
        <v>45778</v>
      </c>
      <c r="B6" s="6"/>
      <c r="C6" s="7">
        <v>586.6</v>
      </c>
      <c r="D6" s="7">
        <v>396.6</v>
      </c>
      <c r="E6" s="7">
        <v>157</v>
      </c>
      <c r="F6" s="7">
        <v>33</v>
      </c>
    </row>
    <row r="7" spans="1:6" ht="16.5" thickTop="1" thickBot="1" x14ac:dyDescent="0.3">
      <c r="A7" s="5">
        <v>45779</v>
      </c>
      <c r="B7" s="6"/>
      <c r="C7" s="7">
        <v>552.45000000000005</v>
      </c>
      <c r="D7" s="7">
        <v>355.05</v>
      </c>
      <c r="E7" s="7">
        <v>149</v>
      </c>
      <c r="F7" s="7">
        <v>48.4</v>
      </c>
    </row>
    <row r="8" spans="1:6" ht="16.5" thickTop="1" thickBot="1" x14ac:dyDescent="0.3">
      <c r="A8" s="5">
        <v>45780</v>
      </c>
      <c r="B8" s="6"/>
      <c r="C8" s="7">
        <v>141.19999999999999</v>
      </c>
      <c r="D8" s="7">
        <v>91.8</v>
      </c>
      <c r="E8" s="7">
        <v>37</v>
      </c>
      <c r="F8" s="7">
        <v>12.4</v>
      </c>
    </row>
    <row r="9" spans="1:6" ht="16.5" thickTop="1" thickBot="1" x14ac:dyDescent="0.3">
      <c r="A9" s="5">
        <v>45781</v>
      </c>
      <c r="B9" s="6"/>
      <c r="C9" s="7">
        <v>701.35</v>
      </c>
      <c r="D9" s="7">
        <v>221.85</v>
      </c>
      <c r="E9" s="7">
        <v>347.5</v>
      </c>
      <c r="F9" s="7">
        <v>132</v>
      </c>
    </row>
    <row r="10" spans="1:6" ht="16.5" thickTop="1" thickBot="1" x14ac:dyDescent="0.3">
      <c r="A10" s="5">
        <v>45782</v>
      </c>
      <c r="B10" s="6"/>
      <c r="C10" s="7">
        <v>0</v>
      </c>
      <c r="D10" s="7">
        <v>0</v>
      </c>
      <c r="E10" s="7">
        <v>0</v>
      </c>
      <c r="F10" s="7">
        <v>0</v>
      </c>
    </row>
    <row r="11" spans="1:6" ht="16.5" thickTop="1" thickBot="1" x14ac:dyDescent="0.3">
      <c r="A11" s="5">
        <v>45783</v>
      </c>
      <c r="B11" s="6"/>
      <c r="C11" s="7">
        <v>305.25</v>
      </c>
      <c r="D11" s="7">
        <v>181.05</v>
      </c>
      <c r="E11" s="7">
        <v>89</v>
      </c>
      <c r="F11" s="7">
        <v>35.200000000000003</v>
      </c>
    </row>
    <row r="12" spans="1:6" ht="16.5" thickTop="1" thickBot="1" x14ac:dyDescent="0.3">
      <c r="A12" s="5">
        <v>45784</v>
      </c>
      <c r="B12" s="6"/>
      <c r="C12" s="7">
        <v>366.4</v>
      </c>
      <c r="D12" s="7">
        <v>72.900000000000006</v>
      </c>
      <c r="E12" s="7">
        <v>259.5</v>
      </c>
      <c r="F12" s="7">
        <v>34</v>
      </c>
    </row>
    <row r="13" spans="1:6" ht="16.5" thickTop="1" thickBot="1" x14ac:dyDescent="0.3">
      <c r="A13" s="5">
        <v>45785</v>
      </c>
      <c r="B13" s="6"/>
      <c r="C13" s="7">
        <v>301.89999999999998</v>
      </c>
      <c r="D13" s="7">
        <v>54.9</v>
      </c>
      <c r="E13" s="7">
        <v>168</v>
      </c>
      <c r="F13" s="7">
        <v>79</v>
      </c>
    </row>
    <row r="14" spans="1:6" ht="16.5" thickTop="1" thickBot="1" x14ac:dyDescent="0.3">
      <c r="A14" s="5">
        <v>45786</v>
      </c>
      <c r="B14" s="6"/>
      <c r="C14" s="7">
        <v>1646.6</v>
      </c>
      <c r="D14" s="7">
        <v>1290.2</v>
      </c>
      <c r="E14" s="7">
        <v>290</v>
      </c>
      <c r="F14" s="7">
        <v>66.400000000000006</v>
      </c>
    </row>
    <row r="15" spans="1:6" ht="16.5" thickTop="1" thickBot="1" x14ac:dyDescent="0.3">
      <c r="A15" s="5">
        <v>45787</v>
      </c>
      <c r="B15" s="6"/>
      <c r="C15" s="7">
        <v>748.1</v>
      </c>
      <c r="D15" s="7">
        <v>408.6</v>
      </c>
      <c r="E15" s="7">
        <v>285.5</v>
      </c>
      <c r="F15" s="7">
        <v>54</v>
      </c>
    </row>
    <row r="16" spans="1:6" ht="16.5" thickTop="1" thickBot="1" x14ac:dyDescent="0.3">
      <c r="A16" s="5">
        <v>45788</v>
      </c>
      <c r="B16" s="6"/>
      <c r="C16" s="7">
        <v>1084.05</v>
      </c>
      <c r="D16" s="7">
        <v>427.05</v>
      </c>
      <c r="E16" s="7">
        <v>524.5</v>
      </c>
      <c r="F16" s="7">
        <v>132.5</v>
      </c>
    </row>
    <row r="17" spans="1:6" ht="16.5" thickTop="1" thickBot="1" x14ac:dyDescent="0.3">
      <c r="A17" s="5">
        <v>45789</v>
      </c>
      <c r="B17" s="6"/>
      <c r="C17" s="7">
        <v>0</v>
      </c>
      <c r="D17" s="7">
        <v>0</v>
      </c>
      <c r="E17" s="7">
        <v>0</v>
      </c>
      <c r="F17" s="7">
        <v>0</v>
      </c>
    </row>
    <row r="18" spans="1:6" ht="16.5" thickTop="1" thickBot="1" x14ac:dyDescent="0.3">
      <c r="A18" s="5">
        <v>45790</v>
      </c>
      <c r="B18" s="6"/>
      <c r="C18" s="7">
        <v>266.5</v>
      </c>
      <c r="D18" s="7">
        <v>51.3</v>
      </c>
      <c r="E18" s="7">
        <v>173</v>
      </c>
      <c r="F18" s="7">
        <v>42.5</v>
      </c>
    </row>
    <row r="19" spans="1:6" ht="16.5" thickTop="1" thickBot="1" x14ac:dyDescent="0.3">
      <c r="A19" s="5">
        <v>45791</v>
      </c>
      <c r="B19" s="6"/>
      <c r="C19" s="7">
        <v>290.95</v>
      </c>
      <c r="D19" s="7">
        <v>148.94999999999999</v>
      </c>
      <c r="E19" s="7">
        <v>116.5</v>
      </c>
      <c r="F19" s="7">
        <v>25.5</v>
      </c>
    </row>
    <row r="20" spans="1:6" ht="16.5" thickTop="1" thickBot="1" x14ac:dyDescent="0.3">
      <c r="A20" s="5">
        <v>45792</v>
      </c>
      <c r="B20" s="6"/>
      <c r="C20" s="7">
        <v>413.6</v>
      </c>
      <c r="D20" s="7">
        <v>167.1</v>
      </c>
      <c r="E20" s="7">
        <v>207.5</v>
      </c>
      <c r="F20" s="7">
        <v>39</v>
      </c>
    </row>
    <row r="21" spans="1:6" ht="16.5" thickTop="1" thickBot="1" x14ac:dyDescent="0.3">
      <c r="A21" s="5">
        <v>45793</v>
      </c>
      <c r="B21" s="6"/>
      <c r="C21" s="7">
        <v>830.8</v>
      </c>
      <c r="D21" s="7">
        <v>368.1</v>
      </c>
      <c r="E21" s="7">
        <v>372.2</v>
      </c>
      <c r="F21" s="7">
        <v>90.5</v>
      </c>
    </row>
    <row r="22" spans="1:6" ht="16.5" thickTop="1" thickBot="1" x14ac:dyDescent="0.3">
      <c r="A22" s="5">
        <v>45794</v>
      </c>
      <c r="B22" s="6"/>
      <c r="C22" s="7">
        <v>580.35</v>
      </c>
      <c r="D22" s="7">
        <v>221.85</v>
      </c>
      <c r="E22" s="7">
        <v>294.5</v>
      </c>
      <c r="F22" s="7">
        <v>64</v>
      </c>
    </row>
    <row r="23" spans="1:6" ht="16.5" thickTop="1" thickBot="1" x14ac:dyDescent="0.3">
      <c r="A23" s="5">
        <v>45795</v>
      </c>
      <c r="B23" s="6"/>
      <c r="C23" s="7">
        <v>1250.45</v>
      </c>
      <c r="D23" s="7">
        <v>623.25</v>
      </c>
      <c r="E23" s="7">
        <v>496</v>
      </c>
      <c r="F23" s="7">
        <v>131.19999999999999</v>
      </c>
    </row>
    <row r="24" spans="1:6" ht="16.5" thickTop="1" thickBot="1" x14ac:dyDescent="0.3">
      <c r="A24" s="5">
        <v>45796</v>
      </c>
      <c r="B24" s="6"/>
      <c r="C24" s="7">
        <v>0</v>
      </c>
      <c r="D24" s="7">
        <v>0</v>
      </c>
      <c r="E24" s="7">
        <v>0</v>
      </c>
      <c r="F24" s="7">
        <v>0</v>
      </c>
    </row>
    <row r="25" spans="1:6" ht="16.5" thickTop="1" thickBot="1" x14ac:dyDescent="0.3">
      <c r="A25" s="5">
        <v>45797</v>
      </c>
      <c r="B25" s="6"/>
      <c r="C25" s="7">
        <v>354.8</v>
      </c>
      <c r="D25" s="7">
        <v>174.6</v>
      </c>
      <c r="E25" s="7">
        <v>131</v>
      </c>
      <c r="F25" s="7">
        <v>49.2</v>
      </c>
    </row>
    <row r="26" spans="1:6" ht="16.5" thickTop="1" thickBot="1" x14ac:dyDescent="0.3">
      <c r="A26" s="5">
        <v>45798</v>
      </c>
      <c r="B26" s="6"/>
      <c r="C26" s="7">
        <v>466.1</v>
      </c>
      <c r="D26" s="7">
        <v>318.60000000000002</v>
      </c>
      <c r="E26" s="7">
        <v>120</v>
      </c>
      <c r="F26" s="7">
        <v>27.5</v>
      </c>
    </row>
    <row r="27" spans="1:6" ht="16.5" thickTop="1" thickBot="1" x14ac:dyDescent="0.3">
      <c r="A27" s="5">
        <v>45799</v>
      </c>
      <c r="B27" s="6"/>
      <c r="C27" s="7">
        <v>305.7</v>
      </c>
      <c r="D27" s="7">
        <v>145.19999999999999</v>
      </c>
      <c r="E27" s="7">
        <v>137.5</v>
      </c>
      <c r="F27" s="7">
        <v>23</v>
      </c>
    </row>
    <row r="28" spans="1:6" ht="16.5" thickTop="1" thickBot="1" x14ac:dyDescent="0.3">
      <c r="A28" s="5">
        <v>45800</v>
      </c>
      <c r="B28" s="6"/>
      <c r="C28" s="7">
        <v>839.8</v>
      </c>
      <c r="D28" s="7">
        <v>471.6</v>
      </c>
      <c r="E28" s="7">
        <v>270</v>
      </c>
      <c r="F28" s="7">
        <v>98.2</v>
      </c>
    </row>
    <row r="29" spans="1:6" ht="16.5" thickTop="1" thickBot="1" x14ac:dyDescent="0.3">
      <c r="A29" s="5">
        <v>45801</v>
      </c>
      <c r="B29" s="6"/>
      <c r="C29" s="7">
        <v>761.7</v>
      </c>
      <c r="D29" s="7">
        <v>382.5</v>
      </c>
      <c r="E29" s="7">
        <v>296</v>
      </c>
      <c r="F29" s="7">
        <v>83.2</v>
      </c>
    </row>
    <row r="30" spans="1:6" ht="16.5" thickTop="1" thickBot="1" x14ac:dyDescent="0.3">
      <c r="A30" s="5">
        <v>45802</v>
      </c>
      <c r="B30" s="6"/>
      <c r="C30" s="7">
        <v>1405.6</v>
      </c>
      <c r="D30" s="7">
        <v>666.4</v>
      </c>
      <c r="E30" s="7">
        <v>594</v>
      </c>
      <c r="F30" s="7">
        <v>145.19999999999999</v>
      </c>
    </row>
    <row r="31" spans="1:6" ht="16.5" thickTop="1" thickBot="1" x14ac:dyDescent="0.3">
      <c r="A31" s="5">
        <v>45803</v>
      </c>
      <c r="B31" s="6"/>
      <c r="C31" s="7">
        <v>0</v>
      </c>
      <c r="D31" s="7">
        <v>0</v>
      </c>
      <c r="E31" s="7">
        <v>0</v>
      </c>
      <c r="F31" s="7">
        <v>0</v>
      </c>
    </row>
    <row r="32" spans="1:6" ht="16.5" thickTop="1" thickBot="1" x14ac:dyDescent="0.3">
      <c r="A32" s="5">
        <v>45804</v>
      </c>
      <c r="B32" s="6"/>
      <c r="C32" s="7">
        <v>176.05</v>
      </c>
      <c r="D32" s="7">
        <v>85.05</v>
      </c>
      <c r="E32" s="7">
        <v>64</v>
      </c>
      <c r="F32" s="7">
        <v>27</v>
      </c>
    </row>
    <row r="33" spans="1:6" ht="16.5" thickTop="1" thickBot="1" x14ac:dyDescent="0.3">
      <c r="A33" s="5">
        <v>45805</v>
      </c>
      <c r="B33" s="6"/>
      <c r="C33" s="7">
        <v>571.29999999999995</v>
      </c>
      <c r="D33" s="7">
        <v>163.6</v>
      </c>
      <c r="E33" s="7">
        <v>350</v>
      </c>
      <c r="F33" s="7">
        <v>57.7</v>
      </c>
    </row>
    <row r="34" spans="1:6" ht="16.5" thickTop="1" thickBot="1" x14ac:dyDescent="0.3">
      <c r="A34" s="5">
        <v>45806</v>
      </c>
      <c r="B34" s="6"/>
      <c r="C34" s="7">
        <v>523.25</v>
      </c>
      <c r="D34" s="7">
        <v>195.75</v>
      </c>
      <c r="E34" s="7">
        <v>254</v>
      </c>
      <c r="F34" s="7">
        <v>73.5</v>
      </c>
    </row>
    <row r="35" spans="1:6" ht="16.5" thickTop="1" thickBot="1" x14ac:dyDescent="0.3">
      <c r="A35" s="5">
        <v>45807</v>
      </c>
      <c r="B35" s="6"/>
      <c r="C35" s="7">
        <v>797.25</v>
      </c>
      <c r="D35" s="7">
        <v>369.45</v>
      </c>
      <c r="E35" s="7">
        <v>344</v>
      </c>
      <c r="F35" s="7">
        <v>83.8</v>
      </c>
    </row>
    <row r="36" spans="1:6" ht="16.5" thickTop="1" thickBot="1" x14ac:dyDescent="0.3">
      <c r="A36" s="5">
        <v>45808</v>
      </c>
      <c r="B36" s="6"/>
      <c r="C36" s="7">
        <v>428.85</v>
      </c>
      <c r="D36" s="7">
        <v>190.35</v>
      </c>
      <c r="E36" s="7">
        <v>204</v>
      </c>
      <c r="F36" s="7">
        <v>34.5</v>
      </c>
    </row>
    <row r="37" spans="1:6" ht="16.5" thickTop="1" thickBot="1" x14ac:dyDescent="0.3">
      <c r="A37" s="16"/>
      <c r="B37" s="2" t="s">
        <v>0</v>
      </c>
      <c r="C37" s="1">
        <f>SUM(C6:C36)</f>
        <v>16696.95</v>
      </c>
      <c r="D37" s="12">
        <f>SUM(D6:D36)</f>
        <v>8243.6500000000015</v>
      </c>
      <c r="E37" s="12">
        <f>SUM(E6:E36)</f>
        <v>6731.2</v>
      </c>
      <c r="F37" s="12">
        <f>SUM(F6:F36)</f>
        <v>1722.4</v>
      </c>
    </row>
    <row r="38" spans="1:6" ht="16.5" thickTop="1" thickBot="1" x14ac:dyDescent="0.3">
      <c r="A38" s="17"/>
      <c r="B38" s="8" t="s">
        <v>1</v>
      </c>
      <c r="C38" s="18"/>
      <c r="D38" s="13">
        <f>SUM(D37/1.06)</f>
        <v>7777.0283018867931</v>
      </c>
      <c r="E38" s="13">
        <f>SUM(E37/1.12)</f>
        <v>6009.9999999999991</v>
      </c>
      <c r="F38" s="13">
        <f>SUM(F37/1.21)</f>
        <v>1423.4710743801654</v>
      </c>
    </row>
    <row r="39" spans="1:6" ht="16.5" thickTop="1" thickBot="1" x14ac:dyDescent="0.3">
      <c r="A39" s="17"/>
      <c r="B39" s="10" t="s">
        <v>2</v>
      </c>
      <c r="C39" s="19"/>
      <c r="D39" s="14">
        <f>SUM(D38*6%)</f>
        <v>466.62169811320757</v>
      </c>
      <c r="E39" s="14">
        <f>SUM(E38*12%)</f>
        <v>721.19999999999982</v>
      </c>
      <c r="F39" s="14">
        <f>SUM(F38*21%)</f>
        <v>298.92892561983473</v>
      </c>
    </row>
    <row r="40" spans="1:6" ht="16.5" thickTop="1" thickBot="1" x14ac:dyDescent="0.3">
      <c r="A40" s="17"/>
      <c r="B40" s="9" t="s">
        <v>0</v>
      </c>
      <c r="C40" s="20"/>
      <c r="D40" s="15">
        <f>SUM(D38:D39)</f>
        <v>8243.6500000000015</v>
      </c>
      <c r="E40" s="15">
        <f>SUM(E38:E39)</f>
        <v>6731.1999999999989</v>
      </c>
      <c r="F40" s="15">
        <f>SUM(F38:F39)</f>
        <v>1722.4</v>
      </c>
    </row>
    <row r="41" spans="1:6" ht="15.75" thickTop="1" x14ac:dyDescent="0.25"/>
  </sheetData>
  <mergeCells count="2">
    <mergeCell ref="A37:A40"/>
    <mergeCell ref="C38:C4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EF31-E4A9-40A5-86EF-980ECFD7BBC1}">
  <dimension ref="A4:F41"/>
  <sheetViews>
    <sheetView workbookViewId="0">
      <selection activeCell="C36" sqref="C36"/>
    </sheetView>
  </sheetViews>
  <sheetFormatPr defaultRowHeight="15" x14ac:dyDescent="0.25"/>
  <cols>
    <col min="1" max="6" width="15.7109375" style="3" customWidth="1"/>
    <col min="7" max="16384" width="9.140625" style="4"/>
  </cols>
  <sheetData>
    <row r="4" spans="1:6" ht="15.75" thickBot="1" x14ac:dyDescent="0.3"/>
    <row r="5" spans="1:6" ht="16.5" thickTop="1" thickBot="1" x14ac:dyDescent="0.3">
      <c r="A5" s="11" t="s">
        <v>3</v>
      </c>
      <c r="B5" s="11" t="s">
        <v>4</v>
      </c>
      <c r="C5" s="11" t="s">
        <v>0</v>
      </c>
      <c r="D5" s="11">
        <v>6</v>
      </c>
      <c r="E5" s="11">
        <v>12</v>
      </c>
      <c r="F5" s="11">
        <v>21</v>
      </c>
    </row>
    <row r="6" spans="1:6" ht="16.5" thickTop="1" thickBot="1" x14ac:dyDescent="0.3">
      <c r="A6" s="5">
        <v>45809</v>
      </c>
      <c r="B6" s="6"/>
      <c r="C6" s="7">
        <v>1858.1</v>
      </c>
      <c r="D6" s="7">
        <v>914.4</v>
      </c>
      <c r="E6" s="7">
        <v>748.5</v>
      </c>
      <c r="F6" s="7">
        <v>195.2</v>
      </c>
    </row>
    <row r="7" spans="1:6" ht="16.5" thickTop="1" thickBot="1" x14ac:dyDescent="0.3">
      <c r="A7" s="5">
        <v>45810</v>
      </c>
      <c r="B7" s="6"/>
      <c r="C7" s="7">
        <v>0</v>
      </c>
      <c r="D7" s="7">
        <v>0</v>
      </c>
      <c r="E7" s="7">
        <v>0</v>
      </c>
      <c r="F7" s="7">
        <v>0</v>
      </c>
    </row>
    <row r="8" spans="1:6" ht="16.5" thickTop="1" thickBot="1" x14ac:dyDescent="0.3">
      <c r="A8" s="5">
        <v>45811</v>
      </c>
      <c r="B8" s="6"/>
      <c r="C8" s="7">
        <v>427.6</v>
      </c>
      <c r="D8" s="7">
        <v>282.60000000000002</v>
      </c>
      <c r="E8" s="7">
        <v>111</v>
      </c>
      <c r="F8" s="7">
        <v>34</v>
      </c>
    </row>
    <row r="9" spans="1:6" ht="16.5" thickTop="1" thickBot="1" x14ac:dyDescent="0.3">
      <c r="A9" s="5">
        <v>45812</v>
      </c>
      <c r="B9" s="6"/>
      <c r="C9" s="7">
        <v>272.75</v>
      </c>
      <c r="D9" s="7">
        <v>113.85</v>
      </c>
      <c r="E9" s="7">
        <v>98</v>
      </c>
      <c r="F9" s="7">
        <v>60.9</v>
      </c>
    </row>
    <row r="10" spans="1:6" ht="16.5" thickTop="1" thickBot="1" x14ac:dyDescent="0.3">
      <c r="A10" s="5">
        <v>45813</v>
      </c>
      <c r="B10" s="6"/>
      <c r="C10" s="7">
        <v>250.45</v>
      </c>
      <c r="D10" s="7">
        <v>119.25</v>
      </c>
      <c r="E10" s="7">
        <v>87</v>
      </c>
      <c r="F10" s="7">
        <v>44.2</v>
      </c>
    </row>
    <row r="11" spans="1:6" ht="16.5" thickTop="1" thickBot="1" x14ac:dyDescent="0.3">
      <c r="A11" s="5">
        <v>45814</v>
      </c>
      <c r="B11" s="6"/>
      <c r="C11" s="7">
        <v>711.85</v>
      </c>
      <c r="D11" s="7">
        <v>321.75</v>
      </c>
      <c r="E11" s="7">
        <v>289</v>
      </c>
      <c r="F11" s="7">
        <v>101.1</v>
      </c>
    </row>
    <row r="12" spans="1:6" ht="16.5" thickTop="1" thickBot="1" x14ac:dyDescent="0.3">
      <c r="A12" s="5">
        <v>45815</v>
      </c>
      <c r="B12" s="6"/>
      <c r="C12" s="7">
        <v>725.95</v>
      </c>
      <c r="D12" s="7">
        <v>270.45</v>
      </c>
      <c r="E12" s="7">
        <v>383</v>
      </c>
      <c r="F12" s="7">
        <v>72.5</v>
      </c>
    </row>
    <row r="13" spans="1:6" ht="16.5" thickTop="1" thickBot="1" x14ac:dyDescent="0.3">
      <c r="A13" s="5">
        <v>45816</v>
      </c>
      <c r="B13" s="6"/>
      <c r="C13" s="7">
        <v>886.7</v>
      </c>
      <c r="D13" s="7">
        <v>412.2</v>
      </c>
      <c r="E13" s="7">
        <v>401</v>
      </c>
      <c r="F13" s="7">
        <v>73.5</v>
      </c>
    </row>
    <row r="14" spans="1:6" ht="16.5" thickTop="1" thickBot="1" x14ac:dyDescent="0.3">
      <c r="A14" s="5">
        <v>45817</v>
      </c>
      <c r="B14" s="6"/>
      <c r="C14" s="7">
        <v>805.85</v>
      </c>
      <c r="D14" s="7">
        <v>484.65</v>
      </c>
      <c r="E14" s="7">
        <v>246</v>
      </c>
      <c r="F14" s="7">
        <v>75.2</v>
      </c>
    </row>
    <row r="15" spans="1:6" ht="16.5" thickTop="1" thickBot="1" x14ac:dyDescent="0.3">
      <c r="A15" s="5">
        <v>45818</v>
      </c>
      <c r="B15" s="6"/>
      <c r="C15" s="7">
        <v>219.45</v>
      </c>
      <c r="D15" s="7">
        <v>74.25</v>
      </c>
      <c r="E15" s="7">
        <v>110</v>
      </c>
      <c r="F15" s="7">
        <v>35.200000000000003</v>
      </c>
    </row>
    <row r="16" spans="1:6" ht="16.5" thickTop="1" thickBot="1" x14ac:dyDescent="0.3">
      <c r="A16" s="5">
        <v>45819</v>
      </c>
      <c r="B16" s="6"/>
      <c r="C16" s="7">
        <v>282.89999999999998</v>
      </c>
      <c r="D16" s="7">
        <v>126.9</v>
      </c>
      <c r="E16" s="7">
        <v>133</v>
      </c>
      <c r="F16" s="7">
        <v>23</v>
      </c>
    </row>
    <row r="17" spans="1:6" ht="16.5" thickTop="1" thickBot="1" x14ac:dyDescent="0.3">
      <c r="A17" s="5">
        <v>45820</v>
      </c>
      <c r="B17" s="6"/>
      <c r="C17" s="7">
        <v>223.1</v>
      </c>
      <c r="D17" s="7">
        <v>86.4</v>
      </c>
      <c r="E17" s="7">
        <v>96</v>
      </c>
      <c r="F17" s="7">
        <v>40.700000000000003</v>
      </c>
    </row>
    <row r="18" spans="1:6" ht="16.5" thickTop="1" thickBot="1" x14ac:dyDescent="0.3">
      <c r="A18" s="5">
        <v>45821</v>
      </c>
      <c r="B18" s="6"/>
      <c r="C18" s="7">
        <v>719.9</v>
      </c>
      <c r="D18" s="7">
        <v>351.9</v>
      </c>
      <c r="E18" s="7">
        <v>282.5</v>
      </c>
      <c r="F18" s="7">
        <v>85.5</v>
      </c>
    </row>
    <row r="19" spans="1:6" ht="16.5" thickTop="1" thickBot="1" x14ac:dyDescent="0.3">
      <c r="A19" s="5">
        <v>45822</v>
      </c>
      <c r="B19" s="6"/>
      <c r="C19" s="7">
        <v>789.1</v>
      </c>
      <c r="D19" s="7">
        <v>391.5</v>
      </c>
      <c r="E19" s="7">
        <v>322.5</v>
      </c>
      <c r="F19" s="7">
        <v>75.099999999999994</v>
      </c>
    </row>
    <row r="20" spans="1:6" ht="16.5" thickTop="1" thickBot="1" x14ac:dyDescent="0.3">
      <c r="A20" s="5">
        <v>45823</v>
      </c>
      <c r="B20" s="6"/>
      <c r="C20" s="7">
        <v>1038.2</v>
      </c>
      <c r="D20" s="7">
        <v>468</v>
      </c>
      <c r="E20" s="7">
        <v>455.5</v>
      </c>
      <c r="F20" s="7">
        <v>114.7</v>
      </c>
    </row>
    <row r="21" spans="1:6" ht="16.5" thickTop="1" thickBot="1" x14ac:dyDescent="0.3">
      <c r="A21" s="5">
        <v>45824</v>
      </c>
      <c r="B21" s="6"/>
      <c r="C21" s="7">
        <v>0</v>
      </c>
      <c r="D21" s="7">
        <v>0</v>
      </c>
      <c r="E21" s="7">
        <v>0</v>
      </c>
      <c r="F21" s="7">
        <v>0</v>
      </c>
    </row>
    <row r="22" spans="1:6" ht="16.5" thickTop="1" thickBot="1" x14ac:dyDescent="0.3">
      <c r="A22" s="5">
        <v>45825</v>
      </c>
      <c r="B22" s="6"/>
      <c r="C22" s="7">
        <v>316.60000000000002</v>
      </c>
      <c r="D22" s="7">
        <v>98.1</v>
      </c>
      <c r="E22" s="7">
        <v>145.5</v>
      </c>
      <c r="F22" s="7">
        <v>73</v>
      </c>
    </row>
    <row r="23" spans="1:6" ht="16.5" thickTop="1" thickBot="1" x14ac:dyDescent="0.3">
      <c r="A23" s="5">
        <v>45826</v>
      </c>
      <c r="B23" s="6"/>
      <c r="C23" s="7">
        <v>329.3</v>
      </c>
      <c r="D23" s="7">
        <v>255.6</v>
      </c>
      <c r="E23" s="7">
        <v>53.5</v>
      </c>
      <c r="F23" s="7">
        <v>20.2</v>
      </c>
    </row>
    <row r="24" spans="1:6" ht="16.5" thickTop="1" thickBot="1" x14ac:dyDescent="0.3">
      <c r="A24" s="5">
        <v>45827</v>
      </c>
      <c r="B24" s="6"/>
      <c r="C24" s="7">
        <v>461.8</v>
      </c>
      <c r="D24" s="7">
        <v>214.3</v>
      </c>
      <c r="E24" s="7">
        <v>197</v>
      </c>
      <c r="F24" s="7">
        <v>50.5</v>
      </c>
    </row>
    <row r="25" spans="1:6" ht="16.5" thickTop="1" thickBot="1" x14ac:dyDescent="0.3">
      <c r="A25" s="5">
        <v>45828</v>
      </c>
      <c r="B25" s="6"/>
      <c r="C25" s="7">
        <v>686.8</v>
      </c>
      <c r="D25" s="7">
        <v>257.2</v>
      </c>
      <c r="E25" s="7">
        <v>331</v>
      </c>
      <c r="F25" s="7">
        <v>98.6</v>
      </c>
    </row>
    <row r="26" spans="1:6" ht="16.5" thickTop="1" thickBot="1" x14ac:dyDescent="0.3">
      <c r="A26" s="5">
        <v>45829</v>
      </c>
      <c r="B26" s="6"/>
      <c r="C26" s="7">
        <v>874.05</v>
      </c>
      <c r="D26" s="7">
        <v>363.15</v>
      </c>
      <c r="E26" s="7">
        <v>414</v>
      </c>
      <c r="F26" s="7">
        <v>96.9</v>
      </c>
    </row>
    <row r="27" spans="1:6" ht="16.5" thickTop="1" thickBot="1" x14ac:dyDescent="0.3">
      <c r="A27" s="5">
        <v>45830</v>
      </c>
      <c r="B27" s="6"/>
      <c r="C27" s="7">
        <v>759.85</v>
      </c>
      <c r="D27" s="7">
        <v>311.85000000000002</v>
      </c>
      <c r="E27" s="7">
        <v>359.5</v>
      </c>
      <c r="F27" s="7">
        <v>88.5</v>
      </c>
    </row>
    <row r="28" spans="1:6" ht="16.5" thickTop="1" thickBot="1" x14ac:dyDescent="0.3">
      <c r="A28" s="5">
        <v>45831</v>
      </c>
      <c r="B28" s="6"/>
      <c r="C28" s="7">
        <v>0</v>
      </c>
      <c r="D28" s="7">
        <v>0</v>
      </c>
      <c r="E28" s="7">
        <v>0</v>
      </c>
      <c r="F28" s="7">
        <v>0</v>
      </c>
    </row>
    <row r="29" spans="1:6" ht="16.5" thickTop="1" thickBot="1" x14ac:dyDescent="0.3">
      <c r="A29" s="5">
        <v>45832</v>
      </c>
      <c r="B29" s="6"/>
      <c r="C29" s="7">
        <v>304.39999999999998</v>
      </c>
      <c r="D29" s="7">
        <v>68.400000000000006</v>
      </c>
      <c r="E29" s="7">
        <v>173.5</v>
      </c>
      <c r="F29" s="7">
        <v>62.5</v>
      </c>
    </row>
    <row r="30" spans="1:6" ht="16.5" thickTop="1" thickBot="1" x14ac:dyDescent="0.3">
      <c r="A30" s="5">
        <v>45833</v>
      </c>
      <c r="B30" s="6"/>
      <c r="C30" s="7">
        <v>343.1</v>
      </c>
      <c r="D30" s="7">
        <v>120.6</v>
      </c>
      <c r="E30" s="7">
        <v>174</v>
      </c>
      <c r="F30" s="7">
        <v>48.5</v>
      </c>
    </row>
    <row r="31" spans="1:6" ht="16.5" thickTop="1" thickBot="1" x14ac:dyDescent="0.3">
      <c r="A31" s="5">
        <v>45834</v>
      </c>
      <c r="B31" s="6"/>
      <c r="C31" s="7">
        <v>366.9</v>
      </c>
      <c r="D31" s="7">
        <v>235.8</v>
      </c>
      <c r="E31" s="7">
        <v>107</v>
      </c>
      <c r="F31" s="7">
        <v>24.1</v>
      </c>
    </row>
    <row r="32" spans="1:6" ht="16.5" thickTop="1" thickBot="1" x14ac:dyDescent="0.3">
      <c r="A32" s="5">
        <v>45835</v>
      </c>
      <c r="B32" s="6"/>
      <c r="C32" s="7">
        <v>1024.9000000000001</v>
      </c>
      <c r="D32" s="7">
        <v>326.7</v>
      </c>
      <c r="E32" s="7">
        <v>511</v>
      </c>
      <c r="F32" s="7">
        <v>187.2</v>
      </c>
    </row>
    <row r="33" spans="1:6" ht="16.5" thickTop="1" thickBot="1" x14ac:dyDescent="0.3">
      <c r="A33" s="5">
        <v>45836</v>
      </c>
      <c r="B33" s="6"/>
      <c r="C33" s="7">
        <v>519.4</v>
      </c>
      <c r="D33" s="7">
        <v>275.39999999999998</v>
      </c>
      <c r="E33" s="7">
        <v>193</v>
      </c>
      <c r="F33" s="7">
        <v>51</v>
      </c>
    </row>
    <row r="34" spans="1:6" ht="16.5" thickTop="1" thickBot="1" x14ac:dyDescent="0.3">
      <c r="A34" s="5">
        <v>45837</v>
      </c>
      <c r="B34" s="6"/>
      <c r="C34" s="7">
        <v>1644.85</v>
      </c>
      <c r="D34" s="7">
        <v>960.75</v>
      </c>
      <c r="E34" s="7">
        <v>510</v>
      </c>
      <c r="F34" s="7">
        <v>174.1</v>
      </c>
    </row>
    <row r="35" spans="1:6" ht="16.5" thickTop="1" thickBot="1" x14ac:dyDescent="0.3">
      <c r="A35" s="5">
        <v>45838</v>
      </c>
      <c r="B35" s="6"/>
      <c r="C35" s="7">
        <v>0</v>
      </c>
      <c r="D35" s="7">
        <v>0</v>
      </c>
      <c r="E35" s="7">
        <v>0</v>
      </c>
      <c r="F35" s="7">
        <v>0</v>
      </c>
    </row>
    <row r="36" spans="1:6" ht="16.5" thickTop="1" thickBot="1" x14ac:dyDescent="0.3">
      <c r="A36" s="5"/>
      <c r="B36" s="6"/>
      <c r="C36" s="7"/>
      <c r="D36" s="7"/>
      <c r="E36" s="7"/>
      <c r="F36" s="7"/>
    </row>
    <row r="37" spans="1:6" ht="16.5" thickTop="1" thickBot="1" x14ac:dyDescent="0.3">
      <c r="A37" s="16"/>
      <c r="B37" s="2" t="s">
        <v>0</v>
      </c>
      <c r="C37" s="1">
        <f>SUM(C6:C36)</f>
        <v>16843.849999999995</v>
      </c>
      <c r="D37" s="12">
        <f>SUM(D6:D36)</f>
        <v>7905.9500000000007</v>
      </c>
      <c r="E37" s="12">
        <f>SUM(E6:E36)</f>
        <v>6932</v>
      </c>
      <c r="F37" s="12">
        <f>SUM(F6:F36)</f>
        <v>2005.9</v>
      </c>
    </row>
    <row r="38" spans="1:6" ht="16.5" thickTop="1" thickBot="1" x14ac:dyDescent="0.3">
      <c r="A38" s="17"/>
      <c r="B38" s="8" t="s">
        <v>1</v>
      </c>
      <c r="C38" s="18"/>
      <c r="D38" s="13">
        <f>SUM(D37/1.06)</f>
        <v>7458.4433962264156</v>
      </c>
      <c r="E38" s="13">
        <f>SUM(E37/1.12)</f>
        <v>6189.2857142857138</v>
      </c>
      <c r="F38" s="13">
        <f>SUM(F37/1.21)</f>
        <v>1657.7685950413224</v>
      </c>
    </row>
    <row r="39" spans="1:6" ht="16.5" thickTop="1" thickBot="1" x14ac:dyDescent="0.3">
      <c r="A39" s="17"/>
      <c r="B39" s="10" t="s">
        <v>2</v>
      </c>
      <c r="C39" s="19"/>
      <c r="D39" s="14">
        <f>SUM(D38*6%)</f>
        <v>447.50660377358491</v>
      </c>
      <c r="E39" s="14">
        <f>SUM(E38*12%)</f>
        <v>742.71428571428567</v>
      </c>
      <c r="F39" s="14">
        <f>SUM(F38*21%)</f>
        <v>348.13140495867771</v>
      </c>
    </row>
    <row r="40" spans="1:6" ht="16.5" thickTop="1" thickBot="1" x14ac:dyDescent="0.3">
      <c r="A40" s="17"/>
      <c r="B40" s="9" t="s">
        <v>0</v>
      </c>
      <c r="C40" s="20"/>
      <c r="D40" s="15">
        <f>SUM(D38:D39)</f>
        <v>7905.9500000000007</v>
      </c>
      <c r="E40" s="15">
        <f>SUM(E38:E39)</f>
        <v>6931.9999999999991</v>
      </c>
      <c r="F40" s="15">
        <f>SUM(F38:F39)</f>
        <v>2005.9</v>
      </c>
    </row>
    <row r="41" spans="1:6" ht="15.75" thickTop="1" x14ac:dyDescent="0.25"/>
  </sheetData>
  <mergeCells count="2">
    <mergeCell ref="A37:A40"/>
    <mergeCell ref="C38:C4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EC5C-1633-43E3-A95E-50A223445152}">
  <dimension ref="A4:F41"/>
  <sheetViews>
    <sheetView workbookViewId="0">
      <selection activeCell="F11" sqref="F11"/>
    </sheetView>
  </sheetViews>
  <sheetFormatPr defaultRowHeight="15" x14ac:dyDescent="0.25"/>
  <cols>
    <col min="1" max="6" width="15.7109375" style="3" customWidth="1"/>
    <col min="7" max="16384" width="9.140625" style="4"/>
  </cols>
  <sheetData>
    <row r="4" spans="1:6" ht="15.75" thickBot="1" x14ac:dyDescent="0.3"/>
    <row r="5" spans="1:6" ht="16.5" thickTop="1" thickBot="1" x14ac:dyDescent="0.3">
      <c r="A5" s="11" t="s">
        <v>3</v>
      </c>
      <c r="B5" s="11" t="s">
        <v>4</v>
      </c>
      <c r="C5" s="11" t="s">
        <v>0</v>
      </c>
      <c r="D5" s="11">
        <v>6</v>
      </c>
      <c r="E5" s="11">
        <v>12</v>
      </c>
      <c r="F5" s="11">
        <v>21</v>
      </c>
    </row>
    <row r="6" spans="1:6" ht="16.5" thickTop="1" thickBot="1" x14ac:dyDescent="0.3">
      <c r="A6" s="5">
        <v>45839</v>
      </c>
      <c r="B6" s="6"/>
      <c r="C6" s="7">
        <v>785.8</v>
      </c>
      <c r="D6" s="7">
        <v>593.29999999999995</v>
      </c>
      <c r="E6" s="7">
        <v>161</v>
      </c>
      <c r="F6" s="7">
        <v>31.5</v>
      </c>
    </row>
    <row r="7" spans="1:6" ht="16.5" thickTop="1" thickBot="1" x14ac:dyDescent="0.3">
      <c r="A7" s="5">
        <v>45840</v>
      </c>
      <c r="B7" s="6"/>
      <c r="C7" s="7">
        <v>563.6</v>
      </c>
      <c r="D7" s="7">
        <v>174.6</v>
      </c>
      <c r="E7" s="7">
        <v>262.5</v>
      </c>
      <c r="F7" s="7">
        <v>126.5</v>
      </c>
    </row>
    <row r="8" spans="1:6" ht="16.5" thickTop="1" thickBot="1" x14ac:dyDescent="0.3">
      <c r="A8" s="5">
        <v>45841</v>
      </c>
      <c r="B8" s="6"/>
      <c r="C8" s="7">
        <v>338.95</v>
      </c>
      <c r="D8" s="7">
        <v>81.45</v>
      </c>
      <c r="E8" s="7">
        <v>204</v>
      </c>
      <c r="F8" s="7">
        <v>53.5</v>
      </c>
    </row>
    <row r="9" spans="1:6" ht="16.5" thickTop="1" thickBot="1" x14ac:dyDescent="0.3">
      <c r="A9" s="5">
        <v>45842</v>
      </c>
      <c r="B9" s="6"/>
      <c r="C9" s="7">
        <v>980.25</v>
      </c>
      <c r="D9" s="7">
        <v>705.15</v>
      </c>
      <c r="E9" s="7">
        <v>218</v>
      </c>
      <c r="F9" s="7">
        <v>57.1</v>
      </c>
    </row>
    <row r="10" spans="1:6" ht="16.5" thickTop="1" thickBot="1" x14ac:dyDescent="0.3">
      <c r="A10" s="5">
        <v>45843</v>
      </c>
      <c r="B10" s="6"/>
      <c r="C10" s="7">
        <v>985.7</v>
      </c>
      <c r="D10" s="7">
        <v>213.7</v>
      </c>
      <c r="E10" s="7">
        <v>675.5</v>
      </c>
      <c r="F10" s="7">
        <v>96.5</v>
      </c>
    </row>
    <row r="11" spans="1:6" ht="16.5" thickTop="1" thickBot="1" x14ac:dyDescent="0.3">
      <c r="A11" s="5">
        <v>45844</v>
      </c>
      <c r="B11" s="6"/>
      <c r="C11" s="7">
        <v>810.85</v>
      </c>
      <c r="D11" s="7">
        <v>427.95</v>
      </c>
      <c r="E11" s="7">
        <v>325.5</v>
      </c>
      <c r="F11" s="7">
        <v>57.4</v>
      </c>
    </row>
    <row r="12" spans="1:6" ht="16.5" thickTop="1" thickBot="1" x14ac:dyDescent="0.3">
      <c r="A12" s="5">
        <v>45845</v>
      </c>
      <c r="B12" s="6"/>
      <c r="C12" s="7"/>
      <c r="D12" s="7"/>
      <c r="E12" s="7"/>
      <c r="F12" s="7"/>
    </row>
    <row r="13" spans="1:6" ht="16.5" thickTop="1" thickBot="1" x14ac:dyDescent="0.3">
      <c r="A13" s="5">
        <v>45846</v>
      </c>
      <c r="B13" s="6"/>
      <c r="C13" s="7"/>
      <c r="D13" s="7"/>
      <c r="E13" s="7"/>
      <c r="F13" s="7"/>
    </row>
    <row r="14" spans="1:6" ht="16.5" thickTop="1" thickBot="1" x14ac:dyDescent="0.3">
      <c r="A14" s="5">
        <v>45847</v>
      </c>
      <c r="B14" s="6"/>
      <c r="C14" s="7"/>
      <c r="D14" s="7"/>
      <c r="E14" s="7"/>
      <c r="F14" s="7"/>
    </row>
    <row r="15" spans="1:6" ht="16.5" thickTop="1" thickBot="1" x14ac:dyDescent="0.3">
      <c r="A15" s="5">
        <v>45848</v>
      </c>
      <c r="B15" s="6"/>
      <c r="C15" s="7"/>
      <c r="D15" s="7"/>
      <c r="E15" s="7"/>
      <c r="F15" s="7"/>
    </row>
    <row r="16" spans="1:6" ht="16.5" thickTop="1" thickBot="1" x14ac:dyDescent="0.3">
      <c r="A16" s="5">
        <v>45849</v>
      </c>
      <c r="B16" s="6"/>
      <c r="C16" s="7"/>
      <c r="D16" s="7"/>
      <c r="E16" s="7"/>
      <c r="F16" s="7"/>
    </row>
    <row r="17" spans="1:6" ht="16.5" thickTop="1" thickBot="1" x14ac:dyDescent="0.3">
      <c r="A17" s="5">
        <v>45850</v>
      </c>
      <c r="B17" s="6"/>
      <c r="C17" s="7"/>
      <c r="D17" s="7"/>
      <c r="E17" s="7"/>
      <c r="F17" s="7"/>
    </row>
    <row r="18" spans="1:6" ht="16.5" thickTop="1" thickBot="1" x14ac:dyDescent="0.3">
      <c r="A18" s="5">
        <v>45851</v>
      </c>
      <c r="B18" s="6"/>
      <c r="C18" s="7"/>
      <c r="D18" s="7"/>
      <c r="E18" s="7"/>
      <c r="F18" s="7"/>
    </row>
    <row r="19" spans="1:6" ht="16.5" thickTop="1" thickBot="1" x14ac:dyDescent="0.3">
      <c r="A19" s="5">
        <v>45852</v>
      </c>
      <c r="B19" s="6"/>
      <c r="C19" s="7"/>
      <c r="D19" s="7"/>
      <c r="E19" s="7"/>
      <c r="F19" s="7"/>
    </row>
    <row r="20" spans="1:6" ht="16.5" thickTop="1" thickBot="1" x14ac:dyDescent="0.3">
      <c r="A20" s="5">
        <v>45853</v>
      </c>
      <c r="B20" s="6"/>
      <c r="C20" s="7"/>
      <c r="D20" s="7"/>
      <c r="E20" s="7"/>
      <c r="F20" s="7"/>
    </row>
    <row r="21" spans="1:6" ht="16.5" thickTop="1" thickBot="1" x14ac:dyDescent="0.3">
      <c r="A21" s="5">
        <v>45854</v>
      </c>
      <c r="B21" s="6"/>
      <c r="C21" s="7"/>
      <c r="D21" s="7"/>
      <c r="E21" s="7"/>
      <c r="F21" s="7"/>
    </row>
    <row r="22" spans="1:6" ht="16.5" thickTop="1" thickBot="1" x14ac:dyDescent="0.3">
      <c r="A22" s="5">
        <v>45855</v>
      </c>
      <c r="B22" s="6"/>
      <c r="C22" s="7"/>
      <c r="D22" s="7"/>
      <c r="E22" s="7"/>
      <c r="F22" s="7"/>
    </row>
    <row r="23" spans="1:6" ht="16.5" thickTop="1" thickBot="1" x14ac:dyDescent="0.3">
      <c r="A23" s="5">
        <v>45856</v>
      </c>
      <c r="B23" s="6"/>
      <c r="C23" s="7"/>
      <c r="D23" s="7"/>
      <c r="E23" s="7"/>
      <c r="F23" s="7"/>
    </row>
    <row r="24" spans="1:6" ht="16.5" thickTop="1" thickBot="1" x14ac:dyDescent="0.3">
      <c r="A24" s="5">
        <v>45857</v>
      </c>
      <c r="B24" s="6"/>
      <c r="C24" s="7"/>
      <c r="D24" s="7"/>
      <c r="E24" s="7"/>
      <c r="F24" s="7"/>
    </row>
    <row r="25" spans="1:6" ht="16.5" thickTop="1" thickBot="1" x14ac:dyDescent="0.3">
      <c r="A25" s="5">
        <v>45858</v>
      </c>
      <c r="B25" s="6"/>
      <c r="C25" s="7"/>
      <c r="D25" s="7"/>
      <c r="E25" s="7"/>
      <c r="F25" s="7"/>
    </row>
    <row r="26" spans="1:6" ht="16.5" thickTop="1" thickBot="1" x14ac:dyDescent="0.3">
      <c r="A26" s="5">
        <v>45859</v>
      </c>
      <c r="B26" s="6"/>
      <c r="C26" s="7"/>
      <c r="D26" s="7"/>
      <c r="E26" s="7"/>
      <c r="F26" s="7"/>
    </row>
    <row r="27" spans="1:6" ht="16.5" thickTop="1" thickBot="1" x14ac:dyDescent="0.3">
      <c r="A27" s="5">
        <v>45860</v>
      </c>
      <c r="B27" s="6"/>
      <c r="C27" s="7"/>
      <c r="D27" s="7"/>
      <c r="E27" s="7"/>
      <c r="F27" s="7"/>
    </row>
    <row r="28" spans="1:6" ht="16.5" thickTop="1" thickBot="1" x14ac:dyDescent="0.3">
      <c r="A28" s="5">
        <v>45861</v>
      </c>
      <c r="B28" s="6"/>
      <c r="C28" s="7"/>
      <c r="D28" s="7"/>
      <c r="E28" s="7"/>
      <c r="F28" s="7"/>
    </row>
    <row r="29" spans="1:6" ht="16.5" thickTop="1" thickBot="1" x14ac:dyDescent="0.3">
      <c r="A29" s="5">
        <v>45862</v>
      </c>
      <c r="B29" s="6"/>
      <c r="C29" s="7"/>
      <c r="D29" s="7"/>
      <c r="E29" s="7"/>
      <c r="F29" s="7"/>
    </row>
    <row r="30" spans="1:6" ht="16.5" thickTop="1" thickBot="1" x14ac:dyDescent="0.3">
      <c r="A30" s="5">
        <v>45863</v>
      </c>
      <c r="B30" s="6"/>
      <c r="C30" s="7"/>
      <c r="D30" s="7"/>
      <c r="E30" s="7"/>
      <c r="F30" s="7"/>
    </row>
    <row r="31" spans="1:6" ht="16.5" thickTop="1" thickBot="1" x14ac:dyDescent="0.3">
      <c r="A31" s="5">
        <v>45864</v>
      </c>
      <c r="B31" s="6"/>
      <c r="C31" s="7"/>
      <c r="D31" s="7"/>
      <c r="E31" s="7"/>
      <c r="F31" s="7"/>
    </row>
    <row r="32" spans="1:6" ht="16.5" thickTop="1" thickBot="1" x14ac:dyDescent="0.3">
      <c r="A32" s="5">
        <v>45865</v>
      </c>
      <c r="B32" s="6"/>
      <c r="C32" s="7"/>
      <c r="D32" s="7"/>
      <c r="E32" s="7"/>
      <c r="F32" s="7"/>
    </row>
    <row r="33" spans="1:6" ht="16.5" thickTop="1" thickBot="1" x14ac:dyDescent="0.3">
      <c r="A33" s="5">
        <v>45866</v>
      </c>
      <c r="B33" s="6"/>
      <c r="C33" s="7"/>
      <c r="D33" s="7"/>
      <c r="E33" s="7"/>
      <c r="F33" s="7"/>
    </row>
    <row r="34" spans="1:6" ht="16.5" thickTop="1" thickBot="1" x14ac:dyDescent="0.3">
      <c r="A34" s="5">
        <v>45867</v>
      </c>
      <c r="B34" s="6"/>
      <c r="C34" s="7"/>
      <c r="D34" s="7"/>
      <c r="E34" s="7"/>
      <c r="F34" s="7"/>
    </row>
    <row r="35" spans="1:6" ht="16.5" thickTop="1" thickBot="1" x14ac:dyDescent="0.3">
      <c r="A35" s="5">
        <v>45868</v>
      </c>
      <c r="B35" s="6"/>
      <c r="C35" s="7"/>
      <c r="D35" s="7"/>
      <c r="E35" s="7"/>
      <c r="F35" s="7"/>
    </row>
    <row r="36" spans="1:6" ht="16.5" thickTop="1" thickBot="1" x14ac:dyDescent="0.3">
      <c r="A36" s="5">
        <v>45869</v>
      </c>
      <c r="B36" s="6"/>
      <c r="C36" s="7"/>
      <c r="D36" s="7"/>
      <c r="E36" s="7"/>
      <c r="F36" s="7"/>
    </row>
    <row r="37" spans="1:6" ht="16.5" thickTop="1" thickBot="1" x14ac:dyDescent="0.3">
      <c r="A37" s="16"/>
      <c r="B37" s="2" t="s">
        <v>0</v>
      </c>
      <c r="C37" s="1">
        <f>SUM(C6:C36)</f>
        <v>4465.1500000000005</v>
      </c>
      <c r="D37" s="12">
        <f>SUM(D6:D36)</f>
        <v>2196.15</v>
      </c>
      <c r="E37" s="12">
        <f>SUM(E6:E36)</f>
        <v>1846.5</v>
      </c>
      <c r="F37" s="12">
        <f>SUM(F6:F36)</f>
        <v>422.5</v>
      </c>
    </row>
    <row r="38" spans="1:6" ht="16.5" thickTop="1" thickBot="1" x14ac:dyDescent="0.3">
      <c r="A38" s="17"/>
      <c r="B38" s="8" t="s">
        <v>1</v>
      </c>
      <c r="C38" s="18"/>
      <c r="D38" s="13">
        <f>SUM(D37/1.06)</f>
        <v>2071.8396226415093</v>
      </c>
      <c r="E38" s="13">
        <f>SUM(E37/1.12)</f>
        <v>1648.6607142857142</v>
      </c>
      <c r="F38" s="13">
        <f>SUM(F37/1.21)</f>
        <v>349.17355371900828</v>
      </c>
    </row>
    <row r="39" spans="1:6" ht="16.5" thickTop="1" thickBot="1" x14ac:dyDescent="0.3">
      <c r="A39" s="17"/>
      <c r="B39" s="10" t="s">
        <v>2</v>
      </c>
      <c r="C39" s="19"/>
      <c r="D39" s="14">
        <f>SUM(D38*6%)</f>
        <v>124.31037735849056</v>
      </c>
      <c r="E39" s="14">
        <f>SUM(E38*12%)</f>
        <v>197.83928571428569</v>
      </c>
      <c r="F39" s="14">
        <f>SUM(F38*21%)</f>
        <v>73.326446280991732</v>
      </c>
    </row>
    <row r="40" spans="1:6" ht="16.5" thickTop="1" thickBot="1" x14ac:dyDescent="0.3">
      <c r="A40" s="17"/>
      <c r="B40" s="9" t="s">
        <v>0</v>
      </c>
      <c r="C40" s="20"/>
      <c r="D40" s="15">
        <f>SUM(D38:D39)</f>
        <v>2196.15</v>
      </c>
      <c r="E40" s="15">
        <f>SUM(E38:E39)</f>
        <v>1846.5</v>
      </c>
      <c r="F40" s="15">
        <f>SUM(F38:F39)</f>
        <v>422.5</v>
      </c>
    </row>
    <row r="41" spans="1:6" ht="15.75" thickTop="1" x14ac:dyDescent="0.25"/>
  </sheetData>
  <mergeCells count="2">
    <mergeCell ref="A37:A40"/>
    <mergeCell ref="C38:C4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9688-944B-438B-A223-1AAF2D4364C9}">
  <dimension ref="A4:F41"/>
  <sheetViews>
    <sheetView workbookViewId="0">
      <selection activeCell="F36" sqref="F36"/>
    </sheetView>
  </sheetViews>
  <sheetFormatPr defaultRowHeight="15" x14ac:dyDescent="0.25"/>
  <cols>
    <col min="1" max="6" width="15.7109375" style="3" customWidth="1"/>
    <col min="7" max="16384" width="9.140625" style="4"/>
  </cols>
  <sheetData>
    <row r="4" spans="1:6" ht="15.75" thickBot="1" x14ac:dyDescent="0.3"/>
    <row r="5" spans="1:6" ht="16.5" thickTop="1" thickBot="1" x14ac:dyDescent="0.3">
      <c r="A5" s="11" t="s">
        <v>3</v>
      </c>
      <c r="B5" s="11" t="s">
        <v>4</v>
      </c>
      <c r="C5" s="11" t="s">
        <v>0</v>
      </c>
      <c r="D5" s="11">
        <v>6</v>
      </c>
      <c r="E5" s="11">
        <v>12</v>
      </c>
      <c r="F5" s="11">
        <v>21</v>
      </c>
    </row>
    <row r="6" spans="1:6" ht="16.5" thickTop="1" thickBot="1" x14ac:dyDescent="0.3">
      <c r="A6" s="5">
        <v>45870</v>
      </c>
      <c r="B6" s="6"/>
      <c r="C6" s="7"/>
      <c r="D6" s="7"/>
      <c r="E6" s="7"/>
      <c r="F6" s="7"/>
    </row>
    <row r="7" spans="1:6" ht="16.5" thickTop="1" thickBot="1" x14ac:dyDescent="0.3">
      <c r="A7" s="5">
        <v>45871</v>
      </c>
      <c r="B7" s="6"/>
      <c r="C7" s="7"/>
      <c r="D7" s="7"/>
      <c r="E7" s="7"/>
      <c r="F7" s="7"/>
    </row>
    <row r="8" spans="1:6" ht="16.5" thickTop="1" thickBot="1" x14ac:dyDescent="0.3">
      <c r="A8" s="5">
        <v>45872</v>
      </c>
      <c r="B8" s="6"/>
      <c r="C8" s="7"/>
      <c r="D8" s="7"/>
      <c r="E8" s="7"/>
      <c r="F8" s="7"/>
    </row>
    <row r="9" spans="1:6" ht="16.5" thickTop="1" thickBot="1" x14ac:dyDescent="0.3">
      <c r="A9" s="5">
        <v>45873</v>
      </c>
      <c r="B9" s="6"/>
      <c r="C9" s="7"/>
      <c r="D9" s="7"/>
      <c r="E9" s="7"/>
      <c r="F9" s="7"/>
    </row>
    <row r="10" spans="1:6" ht="16.5" thickTop="1" thickBot="1" x14ac:dyDescent="0.3">
      <c r="A10" s="5">
        <v>45874</v>
      </c>
      <c r="B10" s="6"/>
      <c r="C10" s="7"/>
      <c r="D10" s="7"/>
      <c r="E10" s="7"/>
      <c r="F10" s="7"/>
    </row>
    <row r="11" spans="1:6" ht="16.5" thickTop="1" thickBot="1" x14ac:dyDescent="0.3">
      <c r="A11" s="5">
        <v>45875</v>
      </c>
      <c r="B11" s="6"/>
      <c r="C11" s="7"/>
      <c r="D11" s="7"/>
      <c r="E11" s="7"/>
      <c r="F11" s="7"/>
    </row>
    <row r="12" spans="1:6" ht="16.5" thickTop="1" thickBot="1" x14ac:dyDescent="0.3">
      <c r="A12" s="5">
        <v>45876</v>
      </c>
      <c r="B12" s="6"/>
      <c r="C12" s="7"/>
      <c r="D12" s="7"/>
      <c r="E12" s="7"/>
      <c r="F12" s="7"/>
    </row>
    <row r="13" spans="1:6" ht="16.5" thickTop="1" thickBot="1" x14ac:dyDescent="0.3">
      <c r="A13" s="5">
        <v>45877</v>
      </c>
      <c r="B13" s="6"/>
      <c r="C13" s="7"/>
      <c r="D13" s="7"/>
      <c r="E13" s="7"/>
      <c r="F13" s="7"/>
    </row>
    <row r="14" spans="1:6" ht="16.5" thickTop="1" thickBot="1" x14ac:dyDescent="0.3">
      <c r="A14" s="5">
        <v>45878</v>
      </c>
      <c r="B14" s="6"/>
      <c r="C14" s="7"/>
      <c r="D14" s="7"/>
      <c r="E14" s="7"/>
      <c r="F14" s="7"/>
    </row>
    <row r="15" spans="1:6" ht="16.5" thickTop="1" thickBot="1" x14ac:dyDescent="0.3">
      <c r="A15" s="5">
        <v>45879</v>
      </c>
      <c r="B15" s="6"/>
      <c r="C15" s="7"/>
      <c r="D15" s="7"/>
      <c r="E15" s="7"/>
      <c r="F15" s="7"/>
    </row>
    <row r="16" spans="1:6" ht="16.5" thickTop="1" thickBot="1" x14ac:dyDescent="0.3">
      <c r="A16" s="5">
        <v>45880</v>
      </c>
      <c r="B16" s="6"/>
      <c r="C16" s="7"/>
      <c r="D16" s="7"/>
      <c r="E16" s="7"/>
      <c r="F16" s="7"/>
    </row>
    <row r="17" spans="1:6" ht="16.5" thickTop="1" thickBot="1" x14ac:dyDescent="0.3">
      <c r="A17" s="5">
        <v>45881</v>
      </c>
      <c r="B17" s="6"/>
      <c r="C17" s="7"/>
      <c r="D17" s="7"/>
      <c r="E17" s="7"/>
      <c r="F17" s="7"/>
    </row>
    <row r="18" spans="1:6" ht="16.5" thickTop="1" thickBot="1" x14ac:dyDescent="0.3">
      <c r="A18" s="5">
        <v>45882</v>
      </c>
      <c r="B18" s="6"/>
      <c r="C18" s="7"/>
      <c r="D18" s="7"/>
      <c r="E18" s="7"/>
      <c r="F18" s="7"/>
    </row>
    <row r="19" spans="1:6" ht="16.5" thickTop="1" thickBot="1" x14ac:dyDescent="0.3">
      <c r="A19" s="5">
        <v>45883</v>
      </c>
      <c r="B19" s="6"/>
      <c r="C19" s="7"/>
      <c r="D19" s="7"/>
      <c r="E19" s="7"/>
      <c r="F19" s="7"/>
    </row>
    <row r="20" spans="1:6" ht="16.5" thickTop="1" thickBot="1" x14ac:dyDescent="0.3">
      <c r="A20" s="5">
        <v>45884</v>
      </c>
      <c r="B20" s="6"/>
      <c r="C20" s="7"/>
      <c r="D20" s="7"/>
      <c r="E20" s="7"/>
      <c r="F20" s="7"/>
    </row>
    <row r="21" spans="1:6" ht="16.5" thickTop="1" thickBot="1" x14ac:dyDescent="0.3">
      <c r="A21" s="5">
        <v>45885</v>
      </c>
      <c r="B21" s="6"/>
      <c r="C21" s="7"/>
      <c r="D21" s="7"/>
      <c r="E21" s="7"/>
      <c r="F21" s="7"/>
    </row>
    <row r="22" spans="1:6" ht="16.5" thickTop="1" thickBot="1" x14ac:dyDescent="0.3">
      <c r="A22" s="5">
        <v>45886</v>
      </c>
      <c r="B22" s="6"/>
      <c r="C22" s="7"/>
      <c r="D22" s="7"/>
      <c r="E22" s="7"/>
      <c r="F22" s="7"/>
    </row>
    <row r="23" spans="1:6" ht="16.5" thickTop="1" thickBot="1" x14ac:dyDescent="0.3">
      <c r="A23" s="5">
        <v>45887</v>
      </c>
      <c r="B23" s="6"/>
      <c r="C23" s="7"/>
      <c r="D23" s="7"/>
      <c r="E23" s="7"/>
      <c r="F23" s="7"/>
    </row>
    <row r="24" spans="1:6" ht="16.5" thickTop="1" thickBot="1" x14ac:dyDescent="0.3">
      <c r="A24" s="5">
        <v>45888</v>
      </c>
      <c r="B24" s="6"/>
      <c r="C24" s="7"/>
      <c r="D24" s="7"/>
      <c r="E24" s="7"/>
      <c r="F24" s="7"/>
    </row>
    <row r="25" spans="1:6" ht="16.5" thickTop="1" thickBot="1" x14ac:dyDescent="0.3">
      <c r="A25" s="5">
        <v>45889</v>
      </c>
      <c r="B25" s="6"/>
      <c r="C25" s="7"/>
      <c r="D25" s="7"/>
      <c r="E25" s="7"/>
      <c r="F25" s="7"/>
    </row>
    <row r="26" spans="1:6" ht="16.5" thickTop="1" thickBot="1" x14ac:dyDescent="0.3">
      <c r="A26" s="5">
        <v>45890</v>
      </c>
      <c r="B26" s="6"/>
      <c r="C26" s="7"/>
      <c r="D26" s="7"/>
      <c r="E26" s="7"/>
      <c r="F26" s="7"/>
    </row>
    <row r="27" spans="1:6" ht="16.5" thickTop="1" thickBot="1" x14ac:dyDescent="0.3">
      <c r="A27" s="5">
        <v>45891</v>
      </c>
      <c r="B27" s="6"/>
      <c r="C27" s="7"/>
      <c r="D27" s="7"/>
      <c r="E27" s="7"/>
      <c r="F27" s="7"/>
    </row>
    <row r="28" spans="1:6" ht="16.5" thickTop="1" thickBot="1" x14ac:dyDescent="0.3">
      <c r="A28" s="5">
        <v>45892</v>
      </c>
      <c r="B28" s="6"/>
      <c r="C28" s="7"/>
      <c r="D28" s="7"/>
      <c r="E28" s="7"/>
      <c r="F28" s="7"/>
    </row>
    <row r="29" spans="1:6" ht="16.5" thickTop="1" thickBot="1" x14ac:dyDescent="0.3">
      <c r="A29" s="5">
        <v>45893</v>
      </c>
      <c r="B29" s="6"/>
      <c r="C29" s="7"/>
      <c r="D29" s="7"/>
      <c r="E29" s="7"/>
      <c r="F29" s="7"/>
    </row>
    <row r="30" spans="1:6" ht="16.5" thickTop="1" thickBot="1" x14ac:dyDescent="0.3">
      <c r="A30" s="5">
        <v>45894</v>
      </c>
      <c r="B30" s="6"/>
      <c r="C30" s="7"/>
      <c r="D30" s="7"/>
      <c r="E30" s="7"/>
      <c r="F30" s="7"/>
    </row>
    <row r="31" spans="1:6" ht="16.5" thickTop="1" thickBot="1" x14ac:dyDescent="0.3">
      <c r="A31" s="5">
        <v>45895</v>
      </c>
      <c r="B31" s="6"/>
      <c r="C31" s="7"/>
      <c r="D31" s="7"/>
      <c r="E31" s="7"/>
      <c r="F31" s="7"/>
    </row>
    <row r="32" spans="1:6" ht="16.5" thickTop="1" thickBot="1" x14ac:dyDescent="0.3">
      <c r="A32" s="5">
        <v>45896</v>
      </c>
      <c r="B32" s="6"/>
      <c r="C32" s="7"/>
      <c r="D32" s="7"/>
      <c r="E32" s="7"/>
      <c r="F32" s="7"/>
    </row>
    <row r="33" spans="1:6" ht="16.5" thickTop="1" thickBot="1" x14ac:dyDescent="0.3">
      <c r="A33" s="5">
        <v>45897</v>
      </c>
      <c r="B33" s="6"/>
      <c r="C33" s="7"/>
      <c r="D33" s="7"/>
      <c r="E33" s="7"/>
      <c r="F33" s="7"/>
    </row>
    <row r="34" spans="1:6" ht="16.5" thickTop="1" thickBot="1" x14ac:dyDescent="0.3">
      <c r="A34" s="5">
        <v>45898</v>
      </c>
      <c r="B34" s="6"/>
      <c r="C34" s="7">
        <v>529.1</v>
      </c>
      <c r="D34" s="7">
        <v>308.7</v>
      </c>
      <c r="E34" s="7">
        <v>187.5</v>
      </c>
      <c r="F34" s="7">
        <v>32.9</v>
      </c>
    </row>
    <row r="35" spans="1:6" ht="16.5" thickTop="1" thickBot="1" x14ac:dyDescent="0.3">
      <c r="A35" s="5">
        <v>45899</v>
      </c>
      <c r="B35" s="6"/>
      <c r="C35" s="7">
        <v>975.8</v>
      </c>
      <c r="D35" s="7">
        <v>426.6</v>
      </c>
      <c r="E35" s="7">
        <v>393</v>
      </c>
      <c r="F35" s="7">
        <v>156.19999999999999</v>
      </c>
    </row>
    <row r="36" spans="1:6" ht="16.5" thickTop="1" thickBot="1" x14ac:dyDescent="0.3">
      <c r="A36" s="5">
        <v>45900</v>
      </c>
      <c r="B36" s="6"/>
      <c r="C36" s="7">
        <v>1288.55</v>
      </c>
      <c r="D36" s="7">
        <v>418.05</v>
      </c>
      <c r="E36" s="7">
        <v>686.5</v>
      </c>
      <c r="F36" s="7">
        <v>184</v>
      </c>
    </row>
    <row r="37" spans="1:6" ht="16.5" thickTop="1" thickBot="1" x14ac:dyDescent="0.3">
      <c r="A37" s="16"/>
      <c r="B37" s="2" t="s">
        <v>0</v>
      </c>
      <c r="C37" s="1">
        <f>SUM(C6:C36)</f>
        <v>2793.45</v>
      </c>
      <c r="D37" s="12">
        <f>SUM(D6:D36)</f>
        <v>1153.3499999999999</v>
      </c>
      <c r="E37" s="12">
        <f>SUM(E6:E36)</f>
        <v>1267</v>
      </c>
      <c r="F37" s="12">
        <f>SUM(F6:F36)</f>
        <v>373.1</v>
      </c>
    </row>
    <row r="38" spans="1:6" ht="16.5" thickTop="1" thickBot="1" x14ac:dyDescent="0.3">
      <c r="A38" s="17"/>
      <c r="B38" s="8" t="s">
        <v>1</v>
      </c>
      <c r="C38" s="18"/>
      <c r="D38" s="13">
        <f>SUM(D37/1.06)</f>
        <v>1088.066037735849</v>
      </c>
      <c r="E38" s="13">
        <f>SUM(E37/1.12)</f>
        <v>1131.25</v>
      </c>
      <c r="F38" s="13">
        <f>SUM(F37/1.21)</f>
        <v>308.34710743801656</v>
      </c>
    </row>
    <row r="39" spans="1:6" ht="16.5" thickTop="1" thickBot="1" x14ac:dyDescent="0.3">
      <c r="A39" s="17"/>
      <c r="B39" s="10" t="s">
        <v>2</v>
      </c>
      <c r="C39" s="19"/>
      <c r="D39" s="14">
        <f>SUM(D38*6%)</f>
        <v>65.283962264150944</v>
      </c>
      <c r="E39" s="14">
        <f>SUM(E38*12%)</f>
        <v>135.75</v>
      </c>
      <c r="F39" s="14">
        <f>SUM(F38*21%)</f>
        <v>64.752892561983472</v>
      </c>
    </row>
    <row r="40" spans="1:6" ht="16.5" thickTop="1" thickBot="1" x14ac:dyDescent="0.3">
      <c r="A40" s="17"/>
      <c r="B40" s="9" t="s">
        <v>0</v>
      </c>
      <c r="C40" s="20"/>
      <c r="D40" s="15">
        <f>SUM(D38:D39)</f>
        <v>1153.3499999999999</v>
      </c>
      <c r="E40" s="15">
        <f>SUM(E38:E39)</f>
        <v>1267</v>
      </c>
      <c r="F40" s="15">
        <f>SUM(F38:F39)</f>
        <v>373.1</v>
      </c>
    </row>
    <row r="41" spans="1:6" ht="15.75" thickTop="1" x14ac:dyDescent="0.25"/>
  </sheetData>
  <mergeCells count="2">
    <mergeCell ref="A37:A40"/>
    <mergeCell ref="C38:C4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1F5B-6DC4-4286-A6A4-27A889774D18}">
  <dimension ref="A4:F41"/>
  <sheetViews>
    <sheetView workbookViewId="0">
      <selection activeCell="F36" sqref="F36"/>
    </sheetView>
  </sheetViews>
  <sheetFormatPr defaultRowHeight="15" x14ac:dyDescent="0.25"/>
  <cols>
    <col min="1" max="6" width="15.7109375" style="3" customWidth="1"/>
    <col min="7" max="16384" width="9.140625" style="4"/>
  </cols>
  <sheetData>
    <row r="4" spans="1:6" ht="15.75" thickBot="1" x14ac:dyDescent="0.3"/>
    <row r="5" spans="1:6" ht="16.5" thickTop="1" thickBot="1" x14ac:dyDescent="0.3">
      <c r="A5" s="11" t="s">
        <v>3</v>
      </c>
      <c r="B5" s="11" t="s">
        <v>4</v>
      </c>
      <c r="C5" s="11" t="s">
        <v>0</v>
      </c>
      <c r="D5" s="11">
        <v>6</v>
      </c>
      <c r="E5" s="11">
        <v>12</v>
      </c>
      <c r="F5" s="11">
        <v>21</v>
      </c>
    </row>
    <row r="6" spans="1:6" ht="16.5" thickTop="1" thickBot="1" x14ac:dyDescent="0.3">
      <c r="A6" s="5">
        <v>45901</v>
      </c>
      <c r="B6" s="6"/>
      <c r="C6" s="7">
        <v>0</v>
      </c>
      <c r="D6" s="7">
        <v>0</v>
      </c>
      <c r="E6" s="7">
        <v>0</v>
      </c>
      <c r="F6" s="7">
        <v>0</v>
      </c>
    </row>
    <row r="7" spans="1:6" ht="16.5" thickTop="1" thickBot="1" x14ac:dyDescent="0.3">
      <c r="A7" s="5">
        <v>45902</v>
      </c>
      <c r="B7" s="6"/>
      <c r="C7" s="7">
        <v>153.15</v>
      </c>
      <c r="D7" s="7">
        <v>49.95</v>
      </c>
      <c r="E7" s="7">
        <v>74</v>
      </c>
      <c r="F7" s="7">
        <v>29.2</v>
      </c>
    </row>
    <row r="8" spans="1:6" ht="16.5" thickTop="1" thickBot="1" x14ac:dyDescent="0.3">
      <c r="A8" s="5">
        <v>45903</v>
      </c>
      <c r="B8" s="6"/>
      <c r="C8" s="7">
        <v>276.7</v>
      </c>
      <c r="D8" s="7">
        <v>173.7</v>
      </c>
      <c r="E8" s="7">
        <v>84</v>
      </c>
      <c r="F8" s="7">
        <v>19</v>
      </c>
    </row>
    <row r="9" spans="1:6" ht="16.5" thickTop="1" thickBot="1" x14ac:dyDescent="0.3">
      <c r="A9" s="5">
        <v>45904</v>
      </c>
      <c r="B9" s="6"/>
      <c r="C9" s="7">
        <v>453.8</v>
      </c>
      <c r="D9" s="7">
        <v>287.10000000000002</v>
      </c>
      <c r="E9" s="7">
        <v>131</v>
      </c>
      <c r="F9" s="7">
        <v>35.700000000000003</v>
      </c>
    </row>
    <row r="10" spans="1:6" ht="16.5" thickTop="1" thickBot="1" x14ac:dyDescent="0.3">
      <c r="A10" s="5">
        <v>45905</v>
      </c>
      <c r="B10" s="6"/>
      <c r="C10" s="7">
        <v>981.8</v>
      </c>
      <c r="D10" s="7">
        <v>404.1</v>
      </c>
      <c r="E10" s="7">
        <v>498.5</v>
      </c>
      <c r="F10" s="7">
        <v>79.2</v>
      </c>
    </row>
    <row r="11" spans="1:6" ht="16.5" thickTop="1" thickBot="1" x14ac:dyDescent="0.3">
      <c r="A11" s="5">
        <v>45906</v>
      </c>
      <c r="B11" s="6"/>
      <c r="C11" s="7">
        <v>1365.55</v>
      </c>
      <c r="D11" s="7">
        <v>544.45000000000005</v>
      </c>
      <c r="E11" s="7">
        <v>698.4</v>
      </c>
      <c r="F11" s="7">
        <v>122.7</v>
      </c>
    </row>
    <row r="12" spans="1:6" ht="16.5" thickTop="1" thickBot="1" x14ac:dyDescent="0.3">
      <c r="A12" s="5">
        <v>45907</v>
      </c>
      <c r="B12" s="6"/>
      <c r="C12" s="7">
        <v>1129.4000000000001</v>
      </c>
      <c r="D12" s="7">
        <v>634.1</v>
      </c>
      <c r="E12" s="7">
        <v>360</v>
      </c>
      <c r="F12" s="7">
        <v>135.30000000000001</v>
      </c>
    </row>
    <row r="13" spans="1:6" ht="16.5" thickTop="1" thickBot="1" x14ac:dyDescent="0.3">
      <c r="A13" s="5">
        <v>45908</v>
      </c>
      <c r="B13" s="6"/>
      <c r="C13" s="7">
        <v>0</v>
      </c>
      <c r="D13" s="7">
        <v>0</v>
      </c>
      <c r="E13" s="7">
        <v>0</v>
      </c>
      <c r="F13" s="7">
        <v>0</v>
      </c>
    </row>
    <row r="14" spans="1:6" ht="16.5" thickTop="1" thickBot="1" x14ac:dyDescent="0.3">
      <c r="A14" s="5">
        <v>45909</v>
      </c>
      <c r="B14" s="6"/>
      <c r="C14" s="7">
        <v>299.60000000000002</v>
      </c>
      <c r="D14" s="7">
        <v>192.6</v>
      </c>
      <c r="E14" s="7">
        <v>78</v>
      </c>
      <c r="F14" s="7">
        <v>29</v>
      </c>
    </row>
    <row r="15" spans="1:6" ht="16.5" thickTop="1" thickBot="1" x14ac:dyDescent="0.3">
      <c r="A15" s="5">
        <v>45910</v>
      </c>
      <c r="B15" s="6"/>
      <c r="C15" s="7">
        <v>398.1</v>
      </c>
      <c r="D15" s="7">
        <v>144</v>
      </c>
      <c r="E15" s="7">
        <v>200</v>
      </c>
      <c r="F15" s="7">
        <v>54.1</v>
      </c>
    </row>
    <row r="16" spans="1:6" ht="16.5" thickTop="1" thickBot="1" x14ac:dyDescent="0.3">
      <c r="A16" s="5">
        <v>45911</v>
      </c>
      <c r="B16" s="6"/>
      <c r="C16" s="7">
        <v>584.70000000000005</v>
      </c>
      <c r="D16" s="7">
        <v>331.2</v>
      </c>
      <c r="E16" s="7">
        <v>201</v>
      </c>
      <c r="F16" s="7">
        <v>52.5</v>
      </c>
    </row>
    <row r="17" spans="1:6" ht="16.5" thickTop="1" thickBot="1" x14ac:dyDescent="0.3">
      <c r="A17" s="5">
        <v>45912</v>
      </c>
      <c r="B17" s="6"/>
      <c r="C17" s="7">
        <v>653.45000000000005</v>
      </c>
      <c r="D17" s="7">
        <v>303.75</v>
      </c>
      <c r="E17" s="7">
        <v>305</v>
      </c>
      <c r="F17" s="7">
        <v>44.7</v>
      </c>
    </row>
    <row r="18" spans="1:6" ht="16.5" thickTop="1" thickBot="1" x14ac:dyDescent="0.3">
      <c r="A18" s="5">
        <v>45913</v>
      </c>
      <c r="B18" s="6"/>
      <c r="C18" s="7">
        <v>797.25</v>
      </c>
      <c r="D18" s="7">
        <v>388.25</v>
      </c>
      <c r="E18" s="7">
        <v>319.5</v>
      </c>
      <c r="F18" s="7">
        <v>89.5</v>
      </c>
    </row>
    <row r="19" spans="1:6" ht="16.5" thickTop="1" thickBot="1" x14ac:dyDescent="0.3">
      <c r="A19" s="5">
        <v>45914</v>
      </c>
      <c r="B19" s="6"/>
      <c r="C19" s="7">
        <v>1448.3</v>
      </c>
      <c r="D19" s="7">
        <v>723.8</v>
      </c>
      <c r="E19" s="7">
        <v>521</v>
      </c>
      <c r="F19" s="7">
        <v>203.5</v>
      </c>
    </row>
    <row r="20" spans="1:6" ht="16.5" thickTop="1" thickBot="1" x14ac:dyDescent="0.3">
      <c r="A20" s="5">
        <v>45915</v>
      </c>
      <c r="B20" s="6"/>
      <c r="C20" s="7">
        <v>0</v>
      </c>
      <c r="D20" s="7">
        <v>0</v>
      </c>
      <c r="E20" s="7">
        <v>0</v>
      </c>
      <c r="F20" s="7">
        <v>0</v>
      </c>
    </row>
    <row r="21" spans="1:6" ht="16.5" thickTop="1" thickBot="1" x14ac:dyDescent="0.3">
      <c r="A21" s="5">
        <v>45916</v>
      </c>
      <c r="B21" s="6"/>
      <c r="C21" s="7">
        <v>382.1</v>
      </c>
      <c r="D21" s="7">
        <v>239.4</v>
      </c>
      <c r="E21" s="7">
        <v>117.5</v>
      </c>
      <c r="F21" s="7">
        <v>25.2</v>
      </c>
    </row>
    <row r="22" spans="1:6" ht="16.5" thickTop="1" thickBot="1" x14ac:dyDescent="0.3">
      <c r="A22" s="5">
        <v>45917</v>
      </c>
      <c r="B22" s="6"/>
      <c r="C22" s="7">
        <v>213.9</v>
      </c>
      <c r="D22" s="7">
        <v>104.4</v>
      </c>
      <c r="E22" s="7">
        <v>93</v>
      </c>
      <c r="F22" s="7">
        <v>16.5</v>
      </c>
    </row>
    <row r="23" spans="1:6" ht="16.5" thickTop="1" thickBot="1" x14ac:dyDescent="0.3">
      <c r="A23" s="5">
        <v>45918</v>
      </c>
      <c r="B23" s="6"/>
      <c r="C23" s="7">
        <v>371.3</v>
      </c>
      <c r="D23" s="7">
        <v>309.60000000000002</v>
      </c>
      <c r="E23" s="7">
        <v>35</v>
      </c>
      <c r="F23" s="7">
        <v>26.7</v>
      </c>
    </row>
    <row r="24" spans="1:6" ht="16.5" thickTop="1" thickBot="1" x14ac:dyDescent="0.3">
      <c r="A24" s="5">
        <v>45919</v>
      </c>
      <c r="B24" s="6"/>
      <c r="C24" s="7">
        <v>661.2</v>
      </c>
      <c r="D24" s="7">
        <v>252</v>
      </c>
      <c r="E24" s="7">
        <v>318.5</v>
      </c>
      <c r="F24" s="7">
        <v>90.7</v>
      </c>
    </row>
    <row r="25" spans="1:6" ht="16.5" thickTop="1" thickBot="1" x14ac:dyDescent="0.3">
      <c r="A25" s="5">
        <v>45920</v>
      </c>
      <c r="B25" s="6"/>
      <c r="C25" s="7">
        <v>1263.7</v>
      </c>
      <c r="D25" s="7">
        <v>777.6</v>
      </c>
      <c r="E25" s="7">
        <v>397.5</v>
      </c>
      <c r="F25" s="7">
        <v>88.6</v>
      </c>
    </row>
    <row r="26" spans="1:6" ht="16.5" thickTop="1" thickBot="1" x14ac:dyDescent="0.3">
      <c r="A26" s="5">
        <v>45921</v>
      </c>
      <c r="B26" s="6"/>
      <c r="C26" s="7">
        <v>1082.75</v>
      </c>
      <c r="D26" s="7">
        <v>641.75</v>
      </c>
      <c r="E26" s="7">
        <v>336</v>
      </c>
      <c r="F26" s="7">
        <v>105</v>
      </c>
    </row>
    <row r="27" spans="1:6" ht="16.5" thickTop="1" thickBot="1" x14ac:dyDescent="0.3">
      <c r="A27" s="5">
        <v>45922</v>
      </c>
      <c r="B27" s="6"/>
      <c r="C27" s="7">
        <v>0</v>
      </c>
      <c r="D27" s="7">
        <v>0</v>
      </c>
      <c r="E27" s="7">
        <v>0</v>
      </c>
      <c r="F27" s="7">
        <v>0</v>
      </c>
    </row>
    <row r="28" spans="1:6" ht="16.5" thickTop="1" thickBot="1" x14ac:dyDescent="0.3">
      <c r="A28" s="5">
        <v>45923</v>
      </c>
      <c r="B28" s="6"/>
      <c r="C28" s="7">
        <v>170.9</v>
      </c>
      <c r="D28" s="7">
        <v>72.900000000000006</v>
      </c>
      <c r="E28" s="7">
        <v>80</v>
      </c>
      <c r="F28" s="7">
        <v>18</v>
      </c>
    </row>
    <row r="29" spans="1:6" ht="16.5" thickTop="1" thickBot="1" x14ac:dyDescent="0.3">
      <c r="A29" s="5">
        <v>45924</v>
      </c>
      <c r="B29" s="6"/>
      <c r="C29" s="7">
        <v>391.2</v>
      </c>
      <c r="D29" s="7">
        <v>207</v>
      </c>
      <c r="E29" s="7">
        <v>148</v>
      </c>
      <c r="F29" s="7">
        <v>36.200000000000003</v>
      </c>
    </row>
    <row r="30" spans="1:6" ht="16.5" thickTop="1" thickBot="1" x14ac:dyDescent="0.3">
      <c r="A30" s="5">
        <v>45925</v>
      </c>
      <c r="B30" s="6"/>
      <c r="C30" s="7">
        <v>236.25</v>
      </c>
      <c r="D30" s="7">
        <v>236.25</v>
      </c>
      <c r="E30" s="7">
        <v>0</v>
      </c>
      <c r="F30" s="7">
        <v>0</v>
      </c>
    </row>
    <row r="31" spans="1:6" ht="16.5" thickTop="1" thickBot="1" x14ac:dyDescent="0.3">
      <c r="A31" s="5">
        <v>45926</v>
      </c>
      <c r="B31" s="6"/>
      <c r="C31" s="7">
        <v>726</v>
      </c>
      <c r="D31" s="7">
        <v>489.6</v>
      </c>
      <c r="E31" s="7">
        <v>179</v>
      </c>
      <c r="F31" s="7">
        <v>57.4</v>
      </c>
    </row>
    <row r="32" spans="1:6" ht="16.5" thickTop="1" thickBot="1" x14ac:dyDescent="0.3">
      <c r="A32" s="5">
        <v>45927</v>
      </c>
      <c r="B32" s="6"/>
      <c r="C32" s="7">
        <v>664.5</v>
      </c>
      <c r="D32" s="7">
        <v>201.6</v>
      </c>
      <c r="E32" s="7">
        <v>360</v>
      </c>
      <c r="F32" s="7">
        <v>102.9</v>
      </c>
    </row>
    <row r="33" spans="1:6" ht="16.5" thickTop="1" thickBot="1" x14ac:dyDescent="0.3">
      <c r="A33" s="5">
        <v>45928</v>
      </c>
      <c r="B33" s="6"/>
      <c r="C33" s="7">
        <v>1343.9</v>
      </c>
      <c r="D33" s="7">
        <v>554.4</v>
      </c>
      <c r="E33" s="7">
        <v>561</v>
      </c>
      <c r="F33" s="7">
        <v>228.5</v>
      </c>
    </row>
    <row r="34" spans="1:6" ht="16.5" thickTop="1" thickBot="1" x14ac:dyDescent="0.3">
      <c r="A34" s="5">
        <v>45929</v>
      </c>
      <c r="B34" s="6"/>
      <c r="C34" s="7">
        <v>0</v>
      </c>
      <c r="D34" s="7">
        <v>0</v>
      </c>
      <c r="E34" s="7">
        <v>0</v>
      </c>
      <c r="F34" s="7">
        <v>0</v>
      </c>
    </row>
    <row r="35" spans="1:6" ht="16.5" thickTop="1" thickBot="1" x14ac:dyDescent="0.3">
      <c r="A35" s="5">
        <v>45930</v>
      </c>
      <c r="B35" s="6"/>
      <c r="C35" s="7">
        <v>140.4</v>
      </c>
      <c r="D35" s="7">
        <v>61.2</v>
      </c>
      <c r="E35" s="7">
        <v>50</v>
      </c>
      <c r="F35" s="7">
        <v>29.2</v>
      </c>
    </row>
    <row r="36" spans="1:6" ht="16.5" thickTop="1" thickBot="1" x14ac:dyDescent="0.3">
      <c r="A36" s="5"/>
      <c r="B36" s="6"/>
      <c r="C36" s="7"/>
      <c r="D36" s="7"/>
      <c r="E36" s="7"/>
      <c r="F36" s="7"/>
    </row>
    <row r="37" spans="1:6" ht="16.5" thickTop="1" thickBot="1" x14ac:dyDescent="0.3">
      <c r="A37" s="16"/>
      <c r="B37" s="2" t="s">
        <v>0</v>
      </c>
      <c r="C37" s="1">
        <f>SUM(C6:C36)</f>
        <v>16189.9</v>
      </c>
      <c r="D37" s="12">
        <f>SUM(D6:D36)</f>
        <v>8324.7000000000007</v>
      </c>
      <c r="E37" s="12">
        <f>SUM(E6:E36)</f>
        <v>6145.9</v>
      </c>
      <c r="F37" s="12">
        <f>SUM(F6:F36)</f>
        <v>1719.3000000000004</v>
      </c>
    </row>
    <row r="38" spans="1:6" ht="16.5" thickTop="1" thickBot="1" x14ac:dyDescent="0.3">
      <c r="A38" s="17"/>
      <c r="B38" s="8" t="s">
        <v>1</v>
      </c>
      <c r="C38" s="18"/>
      <c r="D38" s="13">
        <f>SUM(D37/1.06)</f>
        <v>7853.4905660377362</v>
      </c>
      <c r="E38" s="13">
        <f>SUM(E37/1.12)</f>
        <v>5487.4107142857138</v>
      </c>
      <c r="F38" s="13">
        <f>SUM(F37/1.21)</f>
        <v>1420.9090909090912</v>
      </c>
    </row>
    <row r="39" spans="1:6" ht="16.5" thickTop="1" thickBot="1" x14ac:dyDescent="0.3">
      <c r="A39" s="17"/>
      <c r="B39" s="10" t="s">
        <v>2</v>
      </c>
      <c r="C39" s="19"/>
      <c r="D39" s="14">
        <f>SUM(D38*6%)</f>
        <v>471.20943396226414</v>
      </c>
      <c r="E39" s="14">
        <f>SUM(E38*12%)</f>
        <v>658.48928571428564</v>
      </c>
      <c r="F39" s="14">
        <f>SUM(F38*21%)</f>
        <v>298.39090909090913</v>
      </c>
    </row>
    <row r="40" spans="1:6" ht="16.5" thickTop="1" thickBot="1" x14ac:dyDescent="0.3">
      <c r="A40" s="17"/>
      <c r="B40" s="9" t="s">
        <v>0</v>
      </c>
      <c r="C40" s="20"/>
      <c r="D40" s="15">
        <f>SUM(D38:D39)</f>
        <v>8324.7000000000007</v>
      </c>
      <c r="E40" s="15">
        <f>SUM(E38:E39)</f>
        <v>6145.9</v>
      </c>
      <c r="F40" s="15">
        <f>SUM(F38:F39)</f>
        <v>1719.3000000000004</v>
      </c>
    </row>
    <row r="41" spans="1:6" ht="15.75" thickTop="1" x14ac:dyDescent="0.25"/>
  </sheetData>
  <mergeCells count="2">
    <mergeCell ref="A37:A40"/>
    <mergeCell ref="C38:C4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69573-6463-4D77-B0CB-D1B8388FFA16}">
  <dimension ref="A4:F41"/>
  <sheetViews>
    <sheetView workbookViewId="0">
      <selection activeCell="F36" sqref="F36"/>
    </sheetView>
  </sheetViews>
  <sheetFormatPr defaultRowHeight="15" x14ac:dyDescent="0.25"/>
  <cols>
    <col min="1" max="6" width="15.7109375" style="3" customWidth="1"/>
    <col min="7" max="16384" width="9.140625" style="4"/>
  </cols>
  <sheetData>
    <row r="4" spans="1:6" ht="15.75" thickBot="1" x14ac:dyDescent="0.3"/>
    <row r="5" spans="1:6" ht="16.5" thickTop="1" thickBot="1" x14ac:dyDescent="0.3">
      <c r="A5" s="11" t="s">
        <v>3</v>
      </c>
      <c r="B5" s="11" t="s">
        <v>4</v>
      </c>
      <c r="C5" s="11" t="s">
        <v>0</v>
      </c>
      <c r="D5" s="11">
        <v>6</v>
      </c>
      <c r="E5" s="11">
        <v>12</v>
      </c>
      <c r="F5" s="11">
        <v>21</v>
      </c>
    </row>
    <row r="6" spans="1:6" ht="16.5" thickTop="1" thickBot="1" x14ac:dyDescent="0.3">
      <c r="A6" s="5">
        <v>45931</v>
      </c>
      <c r="B6" s="6"/>
      <c r="C6" s="7">
        <v>268.7</v>
      </c>
      <c r="D6" s="7">
        <v>110.7</v>
      </c>
      <c r="E6" s="7">
        <v>134</v>
      </c>
      <c r="F6" s="7">
        <v>24</v>
      </c>
    </row>
    <row r="7" spans="1:6" ht="16.5" thickTop="1" thickBot="1" x14ac:dyDescent="0.3">
      <c r="A7" s="5">
        <v>45932</v>
      </c>
      <c r="B7" s="6"/>
      <c r="C7" s="7">
        <v>196.95</v>
      </c>
      <c r="D7" s="7">
        <v>121.95</v>
      </c>
      <c r="E7" s="7">
        <v>64</v>
      </c>
      <c r="F7" s="7">
        <v>11</v>
      </c>
    </row>
    <row r="8" spans="1:6" ht="16.5" thickTop="1" thickBot="1" x14ac:dyDescent="0.3">
      <c r="A8" s="5">
        <v>45933</v>
      </c>
      <c r="B8" s="6"/>
      <c r="C8" s="7">
        <v>726.2</v>
      </c>
      <c r="D8" s="7">
        <v>379.2</v>
      </c>
      <c r="E8" s="7">
        <v>279.5</v>
      </c>
      <c r="F8" s="7">
        <v>67.5</v>
      </c>
    </row>
    <row r="9" spans="1:6" ht="16.5" thickTop="1" thickBot="1" x14ac:dyDescent="0.3">
      <c r="A9" s="5">
        <v>45934</v>
      </c>
      <c r="B9" s="6"/>
      <c r="C9" s="7">
        <v>988.6</v>
      </c>
      <c r="D9" s="7">
        <v>482.4</v>
      </c>
      <c r="E9" s="7">
        <v>408.5</v>
      </c>
      <c r="F9" s="7">
        <v>97.7</v>
      </c>
    </row>
    <row r="10" spans="1:6" ht="16.5" thickTop="1" thickBot="1" x14ac:dyDescent="0.3">
      <c r="A10" s="5">
        <v>45935</v>
      </c>
      <c r="B10" s="6"/>
      <c r="C10" s="7">
        <v>1275.75</v>
      </c>
      <c r="D10" s="7">
        <v>522.95000000000005</v>
      </c>
      <c r="E10" s="7">
        <v>567</v>
      </c>
      <c r="F10" s="7">
        <v>185.8</v>
      </c>
    </row>
    <row r="11" spans="1:6" ht="16.5" thickTop="1" thickBot="1" x14ac:dyDescent="0.3">
      <c r="A11" s="5">
        <v>45936</v>
      </c>
      <c r="B11" s="6"/>
      <c r="C11" s="7">
        <v>0</v>
      </c>
      <c r="D11" s="7">
        <v>0</v>
      </c>
      <c r="E11" s="7">
        <v>0</v>
      </c>
      <c r="F11" s="7">
        <v>0</v>
      </c>
    </row>
    <row r="12" spans="1:6" ht="16.5" thickTop="1" thickBot="1" x14ac:dyDescent="0.3">
      <c r="A12" s="5">
        <v>45937</v>
      </c>
      <c r="B12" s="6"/>
      <c r="C12" s="7">
        <v>324.35000000000002</v>
      </c>
      <c r="D12" s="7">
        <v>194.85</v>
      </c>
      <c r="E12" s="7">
        <v>98</v>
      </c>
      <c r="F12" s="7">
        <v>31.5</v>
      </c>
    </row>
    <row r="13" spans="1:6" ht="16.5" thickTop="1" thickBot="1" x14ac:dyDescent="0.3">
      <c r="A13" s="5">
        <v>45938</v>
      </c>
      <c r="B13" s="6"/>
      <c r="C13" s="7">
        <v>393.05</v>
      </c>
      <c r="D13" s="7">
        <v>167.85</v>
      </c>
      <c r="E13" s="7">
        <v>175</v>
      </c>
      <c r="F13" s="7">
        <v>50.2</v>
      </c>
    </row>
    <row r="14" spans="1:6" ht="16.5" thickTop="1" thickBot="1" x14ac:dyDescent="0.3">
      <c r="A14" s="5">
        <v>45939</v>
      </c>
      <c r="B14" s="6"/>
      <c r="C14" s="7">
        <v>328</v>
      </c>
      <c r="D14" s="7">
        <v>167.4</v>
      </c>
      <c r="E14" s="7">
        <v>98</v>
      </c>
      <c r="F14" s="7">
        <v>62.6</v>
      </c>
    </row>
    <row r="15" spans="1:6" ht="16.5" thickTop="1" thickBot="1" x14ac:dyDescent="0.3">
      <c r="A15" s="5">
        <v>45940</v>
      </c>
      <c r="B15" s="6"/>
      <c r="C15" s="7">
        <v>493.3</v>
      </c>
      <c r="D15" s="7">
        <v>354.6</v>
      </c>
      <c r="E15" s="7">
        <v>116</v>
      </c>
      <c r="F15" s="7">
        <v>22.7</v>
      </c>
    </row>
    <row r="16" spans="1:6" ht="16.5" thickTop="1" thickBot="1" x14ac:dyDescent="0.3">
      <c r="A16" s="5">
        <v>45941</v>
      </c>
      <c r="B16" s="6"/>
      <c r="C16" s="7">
        <v>800.3</v>
      </c>
      <c r="D16" s="7">
        <v>530.79999999999995</v>
      </c>
      <c r="E16" s="7">
        <v>225</v>
      </c>
      <c r="F16" s="7">
        <v>44.5</v>
      </c>
    </row>
    <row r="17" spans="1:6" ht="16.5" thickTop="1" thickBot="1" x14ac:dyDescent="0.3">
      <c r="A17" s="5">
        <v>45942</v>
      </c>
      <c r="B17" s="6"/>
      <c r="C17" s="7">
        <v>1419</v>
      </c>
      <c r="D17" s="7">
        <v>794</v>
      </c>
      <c r="E17" s="7">
        <v>499</v>
      </c>
      <c r="F17" s="7">
        <v>126</v>
      </c>
    </row>
    <row r="18" spans="1:6" ht="16.5" thickTop="1" thickBot="1" x14ac:dyDescent="0.3">
      <c r="A18" s="5">
        <v>45943</v>
      </c>
      <c r="B18" s="6"/>
      <c r="C18" s="7">
        <v>0</v>
      </c>
      <c r="D18" s="7">
        <v>0</v>
      </c>
      <c r="E18" s="7">
        <v>0</v>
      </c>
      <c r="F18" s="7">
        <v>0</v>
      </c>
    </row>
    <row r="19" spans="1:6" ht="16.5" thickTop="1" thickBot="1" x14ac:dyDescent="0.3">
      <c r="A19" s="5">
        <v>45944</v>
      </c>
      <c r="B19" s="6"/>
      <c r="C19" s="7">
        <v>494.35</v>
      </c>
      <c r="D19" s="7">
        <v>152.35</v>
      </c>
      <c r="E19" s="7">
        <v>252.5</v>
      </c>
      <c r="F19" s="7">
        <v>89.5</v>
      </c>
    </row>
    <row r="20" spans="1:6" ht="16.5" thickTop="1" thickBot="1" x14ac:dyDescent="0.3">
      <c r="A20" s="5">
        <v>45945</v>
      </c>
      <c r="B20" s="6"/>
      <c r="C20" s="7">
        <v>390.55</v>
      </c>
      <c r="D20" s="7">
        <v>240.75</v>
      </c>
      <c r="E20" s="7">
        <v>117.5</v>
      </c>
      <c r="F20" s="7">
        <v>32.299999999999997</v>
      </c>
    </row>
    <row r="21" spans="1:6" ht="16.5" thickTop="1" thickBot="1" x14ac:dyDescent="0.3">
      <c r="A21" s="5">
        <v>45946</v>
      </c>
      <c r="B21" s="6"/>
      <c r="C21" s="7">
        <v>526.65</v>
      </c>
      <c r="D21" s="7">
        <v>302.14999999999998</v>
      </c>
      <c r="E21" s="7">
        <v>172</v>
      </c>
      <c r="F21" s="7">
        <v>52.5</v>
      </c>
    </row>
    <row r="22" spans="1:6" ht="16.5" thickTop="1" thickBot="1" x14ac:dyDescent="0.3">
      <c r="A22" s="5">
        <v>45947</v>
      </c>
      <c r="B22" s="6"/>
      <c r="C22" s="7">
        <v>908.3</v>
      </c>
      <c r="D22" s="7">
        <v>336.6</v>
      </c>
      <c r="E22" s="7">
        <v>437.5</v>
      </c>
      <c r="F22" s="7">
        <v>134.19999999999999</v>
      </c>
    </row>
    <row r="23" spans="1:6" ht="16.5" thickTop="1" thickBot="1" x14ac:dyDescent="0.3">
      <c r="A23" s="5">
        <v>45948</v>
      </c>
      <c r="B23" s="6"/>
      <c r="C23" s="7">
        <v>1036.5999999999999</v>
      </c>
      <c r="D23" s="7">
        <v>428.4</v>
      </c>
      <c r="E23" s="7">
        <v>481</v>
      </c>
      <c r="F23" s="7">
        <v>127.2</v>
      </c>
    </row>
    <row r="24" spans="1:6" ht="16.5" thickTop="1" thickBot="1" x14ac:dyDescent="0.3">
      <c r="A24" s="5">
        <v>45949</v>
      </c>
      <c r="B24" s="6"/>
      <c r="C24" s="7">
        <v>763.8</v>
      </c>
      <c r="D24" s="7">
        <v>271.8</v>
      </c>
      <c r="E24" s="7">
        <v>395</v>
      </c>
      <c r="F24" s="7">
        <v>97</v>
      </c>
    </row>
    <row r="25" spans="1:6" ht="16.5" thickTop="1" thickBot="1" x14ac:dyDescent="0.3">
      <c r="A25" s="5">
        <v>45950</v>
      </c>
      <c r="B25" s="6"/>
      <c r="C25" s="7">
        <v>0</v>
      </c>
      <c r="D25" s="7">
        <v>0</v>
      </c>
      <c r="E25" s="7">
        <v>0</v>
      </c>
      <c r="F25" s="7">
        <v>0</v>
      </c>
    </row>
    <row r="26" spans="1:6" ht="16.5" thickTop="1" thickBot="1" x14ac:dyDescent="0.3">
      <c r="A26" s="5">
        <v>45951</v>
      </c>
      <c r="B26" s="6"/>
      <c r="C26" s="7">
        <v>227.3</v>
      </c>
      <c r="D26" s="7">
        <v>24.3</v>
      </c>
      <c r="E26" s="7">
        <v>151</v>
      </c>
      <c r="F26" s="7">
        <v>52</v>
      </c>
    </row>
    <row r="27" spans="1:6" ht="16.5" thickTop="1" thickBot="1" x14ac:dyDescent="0.3">
      <c r="A27" s="5">
        <v>45952</v>
      </c>
      <c r="B27" s="6"/>
      <c r="C27" s="7">
        <v>337.3</v>
      </c>
      <c r="D27" s="7">
        <v>127.8</v>
      </c>
      <c r="E27" s="7">
        <v>122</v>
      </c>
      <c r="F27" s="7">
        <v>87.5</v>
      </c>
    </row>
    <row r="28" spans="1:6" ht="16.5" thickTop="1" thickBot="1" x14ac:dyDescent="0.3">
      <c r="A28" s="5">
        <v>45953</v>
      </c>
      <c r="B28" s="6"/>
      <c r="C28" s="7">
        <v>232.2</v>
      </c>
      <c r="D28" s="7">
        <v>142.19999999999999</v>
      </c>
      <c r="E28" s="7">
        <v>74</v>
      </c>
      <c r="F28" s="7">
        <v>16</v>
      </c>
    </row>
    <row r="29" spans="1:6" ht="16.5" thickTop="1" thickBot="1" x14ac:dyDescent="0.3">
      <c r="A29" s="5">
        <v>45954</v>
      </c>
      <c r="B29" s="6"/>
      <c r="C29" s="7">
        <v>693.6</v>
      </c>
      <c r="D29" s="7">
        <v>161.1</v>
      </c>
      <c r="E29" s="7">
        <v>459.5</v>
      </c>
      <c r="F29" s="7">
        <v>73</v>
      </c>
    </row>
    <row r="30" spans="1:6" ht="16.5" thickTop="1" thickBot="1" x14ac:dyDescent="0.3">
      <c r="A30" s="5">
        <v>45955</v>
      </c>
      <c r="B30" s="6"/>
      <c r="C30" s="7">
        <v>591.1</v>
      </c>
      <c r="D30" s="7">
        <v>229.05</v>
      </c>
      <c r="E30" s="7">
        <v>312.35000000000002</v>
      </c>
      <c r="F30" s="7">
        <v>49.7</v>
      </c>
    </row>
    <row r="31" spans="1:6" ht="16.5" thickTop="1" thickBot="1" x14ac:dyDescent="0.3">
      <c r="A31" s="5">
        <v>45956</v>
      </c>
      <c r="B31" s="6"/>
      <c r="C31" s="7">
        <v>1168.7</v>
      </c>
      <c r="D31" s="7">
        <v>749.7</v>
      </c>
      <c r="E31" s="7">
        <v>318.5</v>
      </c>
      <c r="F31" s="7">
        <v>100.5</v>
      </c>
    </row>
    <row r="32" spans="1:6" ht="16.5" thickTop="1" thickBot="1" x14ac:dyDescent="0.3">
      <c r="A32" s="5">
        <v>45957</v>
      </c>
      <c r="B32" s="6"/>
      <c r="C32" s="7">
        <v>0</v>
      </c>
      <c r="D32" s="7">
        <v>0</v>
      </c>
      <c r="E32" s="7">
        <v>0</v>
      </c>
      <c r="F32" s="7">
        <v>0</v>
      </c>
    </row>
    <row r="33" spans="1:6" ht="16.5" thickTop="1" thickBot="1" x14ac:dyDescent="0.3">
      <c r="A33" s="5">
        <v>45958</v>
      </c>
      <c r="B33" s="6"/>
      <c r="C33" s="7">
        <v>579.35</v>
      </c>
      <c r="D33" s="7">
        <v>104.85</v>
      </c>
      <c r="E33" s="7">
        <v>413</v>
      </c>
      <c r="F33" s="7">
        <v>61.5</v>
      </c>
    </row>
    <row r="34" spans="1:6" ht="16.5" thickTop="1" thickBot="1" x14ac:dyDescent="0.3">
      <c r="A34" s="5">
        <v>45959</v>
      </c>
      <c r="B34" s="6"/>
      <c r="C34" s="7">
        <v>551.15</v>
      </c>
      <c r="D34" s="7">
        <v>318.14999999999998</v>
      </c>
      <c r="E34" s="7">
        <v>189</v>
      </c>
      <c r="F34" s="7">
        <v>44</v>
      </c>
    </row>
    <row r="35" spans="1:6" ht="16.5" thickTop="1" thickBot="1" x14ac:dyDescent="0.3">
      <c r="A35" s="5">
        <v>45960</v>
      </c>
      <c r="B35" s="6"/>
      <c r="C35" s="7">
        <v>183.45</v>
      </c>
      <c r="D35" s="7">
        <v>112.95</v>
      </c>
      <c r="E35" s="7">
        <v>58.5</v>
      </c>
      <c r="F35" s="7">
        <v>12</v>
      </c>
    </row>
    <row r="36" spans="1:6" ht="16.5" thickTop="1" thickBot="1" x14ac:dyDescent="0.3">
      <c r="A36" s="5">
        <v>45961</v>
      </c>
      <c r="B36" s="6"/>
      <c r="C36" s="7">
        <v>736.75</v>
      </c>
      <c r="D36" s="7">
        <v>333.45</v>
      </c>
      <c r="E36" s="7">
        <v>302.5</v>
      </c>
      <c r="F36" s="7">
        <v>100.8</v>
      </c>
    </row>
    <row r="37" spans="1:6" ht="16.5" thickTop="1" thickBot="1" x14ac:dyDescent="0.3">
      <c r="A37" s="16"/>
      <c r="B37" s="2" t="s">
        <v>0</v>
      </c>
      <c r="C37" s="1">
        <f>SUM(C6:C36)</f>
        <v>16635.349999999999</v>
      </c>
      <c r="D37" s="12">
        <f>SUM(D6:D36)</f>
        <v>7862.2999999999993</v>
      </c>
      <c r="E37" s="12">
        <f>SUM(E6:E36)</f>
        <v>6919.85</v>
      </c>
      <c r="F37" s="12">
        <f>SUM(F6:F36)</f>
        <v>1853.2</v>
      </c>
    </row>
    <row r="38" spans="1:6" ht="16.5" thickTop="1" thickBot="1" x14ac:dyDescent="0.3">
      <c r="A38" s="17"/>
      <c r="B38" s="8" t="s">
        <v>1</v>
      </c>
      <c r="C38" s="18"/>
      <c r="D38" s="13">
        <f>SUM(D37/1.06)</f>
        <v>7417.2641509433952</v>
      </c>
      <c r="E38" s="13">
        <f>SUM(E37/1.12)</f>
        <v>6178.4375</v>
      </c>
      <c r="F38" s="13">
        <f>SUM(F37/1.21)</f>
        <v>1531.5702479338843</v>
      </c>
    </row>
    <row r="39" spans="1:6" ht="16.5" thickTop="1" thickBot="1" x14ac:dyDescent="0.3">
      <c r="A39" s="17"/>
      <c r="B39" s="10" t="s">
        <v>2</v>
      </c>
      <c r="C39" s="19"/>
      <c r="D39" s="14">
        <f>SUM(D38*6%)</f>
        <v>445.03584905660369</v>
      </c>
      <c r="E39" s="14">
        <f>SUM(E38*12%)</f>
        <v>741.41250000000002</v>
      </c>
      <c r="F39" s="14">
        <f>SUM(F38*21%)</f>
        <v>321.62975206611571</v>
      </c>
    </row>
    <row r="40" spans="1:6" ht="16.5" thickTop="1" thickBot="1" x14ac:dyDescent="0.3">
      <c r="A40" s="17"/>
      <c r="B40" s="9" t="s">
        <v>0</v>
      </c>
      <c r="C40" s="20"/>
      <c r="D40" s="15">
        <f>SUM(D38:D39)</f>
        <v>7862.2999999999993</v>
      </c>
      <c r="E40" s="15">
        <f>SUM(E38:E39)</f>
        <v>6919.85</v>
      </c>
      <c r="F40" s="15">
        <f>SUM(F38:F39)</f>
        <v>1853.2</v>
      </c>
    </row>
    <row r="41" spans="1:6" ht="15.75" thickTop="1" x14ac:dyDescent="0.25"/>
  </sheetData>
  <mergeCells count="2">
    <mergeCell ref="A37:A40"/>
    <mergeCell ref="C38:C4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82E5-33A3-422F-8916-864E22D1FA39}">
  <dimension ref="A4:F41"/>
  <sheetViews>
    <sheetView workbookViewId="0">
      <selection activeCell="C36" sqref="C36"/>
    </sheetView>
  </sheetViews>
  <sheetFormatPr defaultRowHeight="15" x14ac:dyDescent="0.25"/>
  <cols>
    <col min="1" max="6" width="15.7109375" style="3" customWidth="1"/>
    <col min="7" max="16384" width="9.140625" style="4"/>
  </cols>
  <sheetData>
    <row r="4" spans="1:6" ht="15.75" thickBot="1" x14ac:dyDescent="0.3"/>
    <row r="5" spans="1:6" ht="16.5" thickTop="1" thickBot="1" x14ac:dyDescent="0.3">
      <c r="A5" s="11" t="s">
        <v>3</v>
      </c>
      <c r="B5" s="11" t="s">
        <v>4</v>
      </c>
      <c r="C5" s="11" t="s">
        <v>0</v>
      </c>
      <c r="D5" s="11">
        <v>6</v>
      </c>
      <c r="E5" s="11">
        <v>12</v>
      </c>
      <c r="F5" s="11">
        <v>21</v>
      </c>
    </row>
    <row r="6" spans="1:6" ht="16.5" thickTop="1" thickBot="1" x14ac:dyDescent="0.3">
      <c r="A6" s="5">
        <v>45962</v>
      </c>
      <c r="B6" s="6"/>
      <c r="C6" s="7">
        <v>1052.5999999999999</v>
      </c>
      <c r="D6" s="7">
        <v>737.7</v>
      </c>
      <c r="E6" s="7">
        <v>250</v>
      </c>
      <c r="F6" s="7">
        <v>64.900000000000006</v>
      </c>
    </row>
    <row r="7" spans="1:6" ht="16.5" thickTop="1" thickBot="1" x14ac:dyDescent="0.3">
      <c r="A7" s="5">
        <v>45963</v>
      </c>
      <c r="B7" s="6"/>
      <c r="C7" s="7">
        <v>1131.75</v>
      </c>
      <c r="D7" s="7">
        <v>618.35</v>
      </c>
      <c r="E7" s="7">
        <v>417.5</v>
      </c>
      <c r="F7" s="7">
        <v>95.9</v>
      </c>
    </row>
    <row r="8" spans="1:6" ht="16.5" thickTop="1" thickBot="1" x14ac:dyDescent="0.3">
      <c r="A8" s="5">
        <v>45964</v>
      </c>
      <c r="B8" s="6"/>
      <c r="C8" s="7">
        <v>0</v>
      </c>
      <c r="D8" s="7">
        <v>0</v>
      </c>
      <c r="E8" s="7">
        <v>0</v>
      </c>
      <c r="F8" s="7">
        <v>0</v>
      </c>
    </row>
    <row r="9" spans="1:6" ht="16.5" thickTop="1" thickBot="1" x14ac:dyDescent="0.3">
      <c r="A9" s="5">
        <v>45965</v>
      </c>
      <c r="B9" s="6"/>
      <c r="C9" s="7">
        <v>183.8</v>
      </c>
      <c r="D9" s="7">
        <v>87.3</v>
      </c>
      <c r="E9" s="7">
        <v>71</v>
      </c>
      <c r="F9" s="7">
        <v>25.5</v>
      </c>
    </row>
    <row r="10" spans="1:6" ht="16.5" thickTop="1" thickBot="1" x14ac:dyDescent="0.3">
      <c r="A10" s="5">
        <v>45966</v>
      </c>
      <c r="B10" s="6"/>
      <c r="C10" s="7">
        <v>560.65</v>
      </c>
      <c r="D10" s="7">
        <v>282.14999999999998</v>
      </c>
      <c r="E10" s="7">
        <v>235.5</v>
      </c>
      <c r="F10" s="7">
        <v>43</v>
      </c>
    </row>
    <row r="11" spans="1:6" ht="16.5" thickTop="1" thickBot="1" x14ac:dyDescent="0.3">
      <c r="A11" s="5">
        <v>45967</v>
      </c>
      <c r="B11" s="6"/>
      <c r="C11" s="7">
        <v>509.4</v>
      </c>
      <c r="D11" s="7">
        <v>392.4</v>
      </c>
      <c r="E11" s="7">
        <v>95</v>
      </c>
      <c r="F11" s="7">
        <v>22</v>
      </c>
    </row>
    <row r="12" spans="1:6" ht="16.5" thickTop="1" thickBot="1" x14ac:dyDescent="0.3">
      <c r="A12" s="5">
        <v>45968</v>
      </c>
      <c r="B12" s="6"/>
      <c r="C12" s="7">
        <v>1026.3</v>
      </c>
      <c r="D12" s="7">
        <v>622.79999999999995</v>
      </c>
      <c r="E12" s="7">
        <v>344</v>
      </c>
      <c r="F12" s="7">
        <v>59.5</v>
      </c>
    </row>
    <row r="13" spans="1:6" ht="16.5" thickTop="1" thickBot="1" x14ac:dyDescent="0.3">
      <c r="A13" s="5">
        <v>45969</v>
      </c>
      <c r="B13" s="6"/>
      <c r="C13" s="7">
        <v>721.85</v>
      </c>
      <c r="D13" s="7">
        <v>432.15</v>
      </c>
      <c r="E13" s="7">
        <v>249.5</v>
      </c>
      <c r="F13" s="7">
        <v>40.200000000000003</v>
      </c>
    </row>
    <row r="14" spans="1:6" ht="16.5" thickTop="1" thickBot="1" x14ac:dyDescent="0.3">
      <c r="A14" s="5">
        <v>45970</v>
      </c>
      <c r="B14" s="6"/>
      <c r="C14" s="7">
        <v>1240.3</v>
      </c>
      <c r="D14" s="7">
        <v>516.29999999999995</v>
      </c>
      <c r="E14" s="7">
        <v>558</v>
      </c>
      <c r="F14" s="7">
        <v>166</v>
      </c>
    </row>
    <row r="15" spans="1:6" ht="16.5" thickTop="1" thickBot="1" x14ac:dyDescent="0.3">
      <c r="A15" s="5">
        <v>45971</v>
      </c>
      <c r="B15" s="6"/>
      <c r="C15" s="7">
        <v>0</v>
      </c>
      <c r="D15" s="7">
        <v>0</v>
      </c>
      <c r="E15" s="7">
        <v>0</v>
      </c>
      <c r="F15" s="7">
        <v>0</v>
      </c>
    </row>
    <row r="16" spans="1:6" ht="16.5" thickTop="1" thickBot="1" x14ac:dyDescent="0.3">
      <c r="A16" s="5">
        <v>45972</v>
      </c>
      <c r="B16" s="6"/>
      <c r="C16" s="7">
        <v>673.45</v>
      </c>
      <c r="D16" s="7">
        <v>444.4</v>
      </c>
      <c r="E16" s="7">
        <v>178.05</v>
      </c>
      <c r="F16" s="7">
        <v>51</v>
      </c>
    </row>
    <row r="17" spans="1:6" ht="16.5" thickTop="1" thickBot="1" x14ac:dyDescent="0.3">
      <c r="A17" s="5">
        <v>45973</v>
      </c>
      <c r="B17" s="6"/>
      <c r="C17" s="7">
        <v>239.9</v>
      </c>
      <c r="D17" s="7">
        <v>14.4</v>
      </c>
      <c r="E17" s="7">
        <v>182.5</v>
      </c>
      <c r="F17" s="7">
        <v>43</v>
      </c>
    </row>
    <row r="18" spans="1:6" ht="16.5" thickTop="1" thickBot="1" x14ac:dyDescent="0.3">
      <c r="A18" s="5">
        <v>45974</v>
      </c>
      <c r="B18" s="6"/>
      <c r="C18" s="7">
        <v>224.4</v>
      </c>
      <c r="D18" s="7">
        <v>101.7</v>
      </c>
      <c r="E18" s="7">
        <v>107</v>
      </c>
      <c r="F18" s="7">
        <v>15.7</v>
      </c>
    </row>
    <row r="19" spans="1:6" ht="16.5" thickTop="1" thickBot="1" x14ac:dyDescent="0.3">
      <c r="A19" s="5">
        <v>45975</v>
      </c>
      <c r="B19" s="6"/>
      <c r="C19" s="7">
        <v>873.55</v>
      </c>
      <c r="D19" s="7">
        <v>435.15</v>
      </c>
      <c r="E19" s="7">
        <v>290</v>
      </c>
      <c r="F19" s="7">
        <v>148.4</v>
      </c>
    </row>
    <row r="20" spans="1:6" ht="16.5" thickTop="1" thickBot="1" x14ac:dyDescent="0.3">
      <c r="A20" s="5">
        <v>45976</v>
      </c>
      <c r="B20" s="6"/>
      <c r="C20" s="7">
        <v>552.85</v>
      </c>
      <c r="D20" s="7">
        <v>297.85000000000002</v>
      </c>
      <c r="E20" s="7">
        <v>222</v>
      </c>
      <c r="F20" s="7">
        <v>33</v>
      </c>
    </row>
    <row r="21" spans="1:6" ht="16.5" thickTop="1" thickBot="1" x14ac:dyDescent="0.3">
      <c r="A21" s="5">
        <v>45977</v>
      </c>
      <c r="B21" s="6"/>
      <c r="C21" s="7">
        <v>1008.4</v>
      </c>
      <c r="D21" s="7">
        <v>686.7</v>
      </c>
      <c r="E21" s="7">
        <v>261</v>
      </c>
      <c r="F21" s="7">
        <v>60.7</v>
      </c>
    </row>
    <row r="22" spans="1:6" ht="16.5" thickTop="1" thickBot="1" x14ac:dyDescent="0.3">
      <c r="A22" s="5">
        <v>45978</v>
      </c>
      <c r="B22" s="6"/>
      <c r="C22" s="7">
        <v>0</v>
      </c>
      <c r="D22" s="7">
        <v>0</v>
      </c>
      <c r="E22" s="7">
        <v>0</v>
      </c>
      <c r="F22" s="7">
        <v>0</v>
      </c>
    </row>
    <row r="23" spans="1:6" ht="16.5" thickTop="1" thickBot="1" x14ac:dyDescent="0.3">
      <c r="A23" s="5">
        <v>45979</v>
      </c>
      <c r="B23" s="6"/>
      <c r="C23" s="7">
        <v>84.75</v>
      </c>
      <c r="D23" s="7">
        <v>62.55</v>
      </c>
      <c r="E23" s="7">
        <v>17</v>
      </c>
      <c r="F23" s="7">
        <v>5.2</v>
      </c>
    </row>
    <row r="24" spans="1:6" ht="16.5" thickTop="1" thickBot="1" x14ac:dyDescent="0.3">
      <c r="A24" s="5">
        <v>45980</v>
      </c>
      <c r="B24" s="6"/>
      <c r="C24" s="7">
        <v>251.9</v>
      </c>
      <c r="D24" s="7">
        <v>176.4</v>
      </c>
      <c r="E24" s="7">
        <v>53</v>
      </c>
      <c r="F24" s="7">
        <v>22.5</v>
      </c>
    </row>
    <row r="25" spans="1:6" ht="16.5" thickTop="1" thickBot="1" x14ac:dyDescent="0.3">
      <c r="A25" s="5">
        <v>45981</v>
      </c>
      <c r="B25" s="6"/>
      <c r="C25" s="7">
        <v>398.5</v>
      </c>
      <c r="D25" s="7">
        <v>162</v>
      </c>
      <c r="E25" s="7">
        <v>204</v>
      </c>
      <c r="F25" s="7">
        <v>32.5</v>
      </c>
    </row>
    <row r="26" spans="1:6" ht="16.5" thickTop="1" thickBot="1" x14ac:dyDescent="0.3">
      <c r="A26" s="5">
        <v>45982</v>
      </c>
      <c r="B26" s="6"/>
      <c r="C26" s="7">
        <v>361.42</v>
      </c>
      <c r="D26" s="7">
        <v>361.42</v>
      </c>
      <c r="E26" s="7">
        <v>0</v>
      </c>
      <c r="F26" s="7">
        <v>0</v>
      </c>
    </row>
    <row r="27" spans="1:6" ht="16.5" thickTop="1" thickBot="1" x14ac:dyDescent="0.3">
      <c r="A27" s="5">
        <v>45983</v>
      </c>
      <c r="B27" s="6"/>
      <c r="C27" s="7">
        <v>469.15</v>
      </c>
      <c r="D27" s="7">
        <v>203.65</v>
      </c>
      <c r="E27" s="7">
        <v>193.5</v>
      </c>
      <c r="F27" s="7">
        <v>72</v>
      </c>
    </row>
    <row r="28" spans="1:6" ht="16.5" thickTop="1" thickBot="1" x14ac:dyDescent="0.3">
      <c r="A28" s="5">
        <v>45984</v>
      </c>
      <c r="B28" s="6"/>
      <c r="C28" s="7">
        <v>554.95000000000005</v>
      </c>
      <c r="D28" s="7">
        <v>247.95</v>
      </c>
      <c r="E28" s="7">
        <v>247.5</v>
      </c>
      <c r="F28" s="7">
        <v>59.5</v>
      </c>
    </row>
    <row r="29" spans="1:6" ht="16.5" thickTop="1" thickBot="1" x14ac:dyDescent="0.3">
      <c r="A29" s="5">
        <v>45985</v>
      </c>
      <c r="B29" s="6"/>
      <c r="C29" s="7">
        <v>0</v>
      </c>
      <c r="D29" s="7">
        <v>0</v>
      </c>
      <c r="E29" s="7">
        <v>0</v>
      </c>
      <c r="F29" s="7">
        <v>0</v>
      </c>
    </row>
    <row r="30" spans="1:6" ht="16.5" thickTop="1" thickBot="1" x14ac:dyDescent="0.3">
      <c r="A30" s="5">
        <v>45986</v>
      </c>
      <c r="B30" s="6"/>
      <c r="C30" s="7">
        <v>240.85</v>
      </c>
      <c r="D30" s="7">
        <v>68.849999999999994</v>
      </c>
      <c r="E30" s="7">
        <v>146</v>
      </c>
      <c r="F30" s="7">
        <v>26</v>
      </c>
    </row>
    <row r="31" spans="1:6" ht="16.5" thickTop="1" thickBot="1" x14ac:dyDescent="0.3">
      <c r="A31" s="5">
        <v>45987</v>
      </c>
      <c r="B31" s="6"/>
      <c r="C31" s="7">
        <v>762.4</v>
      </c>
      <c r="D31" s="7">
        <v>579.9</v>
      </c>
      <c r="E31" s="7">
        <v>133</v>
      </c>
      <c r="F31" s="7">
        <v>49.5</v>
      </c>
    </row>
    <row r="32" spans="1:6" ht="16.5" thickTop="1" thickBot="1" x14ac:dyDescent="0.3">
      <c r="A32" s="5">
        <v>45988</v>
      </c>
      <c r="B32" s="6"/>
      <c r="C32" s="7">
        <v>235.1</v>
      </c>
      <c r="D32" s="7">
        <v>17.100000000000001</v>
      </c>
      <c r="E32" s="7">
        <v>186</v>
      </c>
      <c r="F32" s="7">
        <v>32</v>
      </c>
    </row>
    <row r="33" spans="1:6" ht="16.5" thickTop="1" thickBot="1" x14ac:dyDescent="0.3">
      <c r="A33" s="5">
        <v>45989</v>
      </c>
      <c r="B33" s="6"/>
      <c r="C33" s="7">
        <v>508.55</v>
      </c>
      <c r="D33" s="7">
        <v>211.05</v>
      </c>
      <c r="E33" s="7">
        <v>245.5</v>
      </c>
      <c r="F33" s="7">
        <v>52</v>
      </c>
    </row>
    <row r="34" spans="1:6" ht="16.5" thickTop="1" thickBot="1" x14ac:dyDescent="0.3">
      <c r="A34" s="5">
        <v>45990</v>
      </c>
      <c r="B34" s="6"/>
      <c r="C34" s="7">
        <v>586.5</v>
      </c>
      <c r="D34" s="7">
        <v>252.2</v>
      </c>
      <c r="E34" s="7">
        <v>282.5</v>
      </c>
      <c r="F34" s="7">
        <v>51.8</v>
      </c>
    </row>
    <row r="35" spans="1:6" ht="16.5" thickTop="1" thickBot="1" x14ac:dyDescent="0.3">
      <c r="A35" s="5">
        <v>45991</v>
      </c>
      <c r="B35" s="6"/>
      <c r="C35" s="7">
        <v>705.3</v>
      </c>
      <c r="D35" s="7">
        <v>231.3</v>
      </c>
      <c r="E35" s="7">
        <v>366</v>
      </c>
      <c r="F35" s="7">
        <v>108</v>
      </c>
    </row>
    <row r="36" spans="1:6" ht="16.5" thickTop="1" thickBot="1" x14ac:dyDescent="0.3">
      <c r="A36" s="5"/>
      <c r="B36" s="6"/>
      <c r="C36" s="7"/>
      <c r="D36" s="7"/>
      <c r="E36" s="7"/>
      <c r="F36" s="7"/>
    </row>
    <row r="37" spans="1:6" ht="16.5" thickTop="1" thickBot="1" x14ac:dyDescent="0.3">
      <c r="A37" s="16"/>
      <c r="B37" s="2" t="s">
        <v>0</v>
      </c>
      <c r="C37" s="1">
        <f>SUM(C6:C36)</f>
        <v>15158.569999999998</v>
      </c>
      <c r="D37" s="12">
        <f>SUM(D6:D36)</f>
        <v>8243.7199999999975</v>
      </c>
      <c r="E37" s="12">
        <f>SUM(E6:E36)</f>
        <v>5535.05</v>
      </c>
      <c r="F37" s="12">
        <f>SUM(F6:F36)</f>
        <v>1379.8</v>
      </c>
    </row>
    <row r="38" spans="1:6" ht="16.5" thickTop="1" thickBot="1" x14ac:dyDescent="0.3">
      <c r="A38" s="17"/>
      <c r="B38" s="8" t="s">
        <v>1</v>
      </c>
      <c r="C38" s="18"/>
      <c r="D38" s="13">
        <f>SUM(D37/1.06)</f>
        <v>7777.0943396226385</v>
      </c>
      <c r="E38" s="13">
        <f>SUM(E37/1.12)</f>
        <v>4942.0089285714284</v>
      </c>
      <c r="F38" s="13">
        <f>SUM(F37/1.21)</f>
        <v>1140.3305785123966</v>
      </c>
    </row>
    <row r="39" spans="1:6" ht="16.5" thickTop="1" thickBot="1" x14ac:dyDescent="0.3">
      <c r="A39" s="17"/>
      <c r="B39" s="10" t="s">
        <v>2</v>
      </c>
      <c r="C39" s="19"/>
      <c r="D39" s="14">
        <f>SUM(D38*6%)</f>
        <v>466.62566037735832</v>
      </c>
      <c r="E39" s="14">
        <f>SUM(E38*12%)</f>
        <v>593.0410714285714</v>
      </c>
      <c r="F39" s="14">
        <f>SUM(F38*21%)</f>
        <v>239.46942148760328</v>
      </c>
    </row>
    <row r="40" spans="1:6" ht="16.5" thickTop="1" thickBot="1" x14ac:dyDescent="0.3">
      <c r="A40" s="17"/>
      <c r="B40" s="9" t="s">
        <v>0</v>
      </c>
      <c r="C40" s="20"/>
      <c r="D40" s="15">
        <f>SUM(D38:D39)</f>
        <v>8243.7199999999975</v>
      </c>
      <c r="E40" s="15">
        <f>SUM(E38:E39)</f>
        <v>5535.05</v>
      </c>
      <c r="F40" s="15">
        <f>SUM(F38:F39)</f>
        <v>1379.8</v>
      </c>
    </row>
    <row r="41" spans="1:6" ht="15.75" thickTop="1" x14ac:dyDescent="0.25"/>
  </sheetData>
  <mergeCells count="2">
    <mergeCell ref="A37:A40"/>
    <mergeCell ref="C38:C4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6765-362D-46AC-B334-1C6BFEA2B9BB}">
  <dimension ref="A4:F41"/>
  <sheetViews>
    <sheetView tabSelected="1" workbookViewId="0">
      <selection activeCell="F31" sqref="F31"/>
    </sheetView>
  </sheetViews>
  <sheetFormatPr defaultRowHeight="15" x14ac:dyDescent="0.25"/>
  <cols>
    <col min="1" max="6" width="15.7109375" style="3" customWidth="1"/>
    <col min="7" max="16384" width="9.140625" style="4"/>
  </cols>
  <sheetData>
    <row r="4" spans="1:6" ht="15.75" thickBot="1" x14ac:dyDescent="0.3"/>
    <row r="5" spans="1:6" ht="16.5" thickTop="1" thickBot="1" x14ac:dyDescent="0.3">
      <c r="A5" s="11" t="s">
        <v>3</v>
      </c>
      <c r="B5" s="11" t="s">
        <v>4</v>
      </c>
      <c r="C5" s="11" t="s">
        <v>0</v>
      </c>
      <c r="D5" s="11">
        <v>6</v>
      </c>
      <c r="E5" s="11">
        <v>12</v>
      </c>
      <c r="F5" s="11">
        <v>21</v>
      </c>
    </row>
    <row r="6" spans="1:6" ht="16.5" thickTop="1" thickBot="1" x14ac:dyDescent="0.3">
      <c r="A6" s="5">
        <v>45992</v>
      </c>
      <c r="B6" s="6"/>
      <c r="C6" s="7">
        <v>0</v>
      </c>
      <c r="D6" s="7">
        <v>0</v>
      </c>
      <c r="E6" s="7">
        <v>0</v>
      </c>
      <c r="F6" s="7">
        <v>0</v>
      </c>
    </row>
    <row r="7" spans="1:6" ht="16.5" thickTop="1" thickBot="1" x14ac:dyDescent="0.3">
      <c r="A7" s="5">
        <v>45993</v>
      </c>
      <c r="B7" s="6"/>
      <c r="C7" s="7">
        <v>267.75</v>
      </c>
      <c r="D7" s="7">
        <v>85.05</v>
      </c>
      <c r="E7" s="7">
        <v>137</v>
      </c>
      <c r="F7" s="7">
        <v>45.7</v>
      </c>
    </row>
    <row r="8" spans="1:6" ht="16.5" thickTop="1" thickBot="1" x14ac:dyDescent="0.3">
      <c r="A8" s="5">
        <v>45994</v>
      </c>
      <c r="B8" s="6"/>
      <c r="C8" s="7">
        <v>187.7</v>
      </c>
      <c r="D8" s="7">
        <v>38.700000000000003</v>
      </c>
      <c r="E8" s="7">
        <v>105</v>
      </c>
      <c r="F8" s="7">
        <v>44</v>
      </c>
    </row>
    <row r="9" spans="1:6" ht="16.5" thickTop="1" thickBot="1" x14ac:dyDescent="0.3">
      <c r="A9" s="5">
        <v>45995</v>
      </c>
      <c r="B9" s="6"/>
      <c r="C9" s="7">
        <v>161.85</v>
      </c>
      <c r="D9" s="7">
        <v>75.150000000000006</v>
      </c>
      <c r="E9" s="7">
        <v>67</v>
      </c>
      <c r="F9" s="7">
        <v>19.7</v>
      </c>
    </row>
    <row r="10" spans="1:6" ht="16.5" thickTop="1" thickBot="1" x14ac:dyDescent="0.3">
      <c r="A10" s="5">
        <v>45996</v>
      </c>
      <c r="B10" s="6"/>
      <c r="C10" s="7">
        <v>236.6</v>
      </c>
      <c r="D10" s="7">
        <v>68.400000000000006</v>
      </c>
      <c r="E10" s="7">
        <v>104</v>
      </c>
      <c r="F10" s="7">
        <v>64.2</v>
      </c>
    </row>
    <row r="11" spans="1:6" ht="16.5" thickTop="1" thickBot="1" x14ac:dyDescent="0.3">
      <c r="A11" s="5">
        <v>45997</v>
      </c>
      <c r="B11" s="6"/>
      <c r="C11" s="7">
        <v>676.1</v>
      </c>
      <c r="D11" s="7">
        <v>270.89999999999998</v>
      </c>
      <c r="E11" s="7">
        <v>309</v>
      </c>
      <c r="F11" s="7">
        <v>96.2</v>
      </c>
    </row>
    <row r="12" spans="1:6" ht="16.5" thickTop="1" thickBot="1" x14ac:dyDescent="0.3">
      <c r="A12" s="5">
        <v>45998</v>
      </c>
      <c r="B12" s="6"/>
      <c r="C12" s="7">
        <v>671.3</v>
      </c>
      <c r="D12" s="7">
        <v>109.8</v>
      </c>
      <c r="E12" s="7">
        <v>458.5</v>
      </c>
      <c r="F12" s="7">
        <v>103</v>
      </c>
    </row>
    <row r="13" spans="1:6" ht="16.5" thickTop="1" thickBot="1" x14ac:dyDescent="0.3">
      <c r="A13" s="5">
        <v>45999</v>
      </c>
      <c r="B13" s="6"/>
      <c r="C13" s="7">
        <v>0</v>
      </c>
      <c r="D13" s="7">
        <v>0</v>
      </c>
      <c r="E13" s="7">
        <v>0</v>
      </c>
      <c r="F13" s="7">
        <v>0</v>
      </c>
    </row>
    <row r="14" spans="1:6" ht="16.5" thickTop="1" thickBot="1" x14ac:dyDescent="0.3">
      <c r="A14" s="5">
        <v>46000</v>
      </c>
      <c r="B14" s="6"/>
      <c r="C14" s="7">
        <v>46</v>
      </c>
      <c r="D14" s="7">
        <v>19.8</v>
      </c>
      <c r="E14" s="7">
        <v>18</v>
      </c>
      <c r="F14" s="7">
        <v>8.1999999999999993</v>
      </c>
    </row>
    <row r="15" spans="1:6" ht="16.5" thickTop="1" thickBot="1" x14ac:dyDescent="0.3">
      <c r="A15" s="5">
        <v>46001</v>
      </c>
      <c r="B15" s="6"/>
      <c r="C15" s="7">
        <v>243.1</v>
      </c>
      <c r="D15" s="7">
        <v>98.1</v>
      </c>
      <c r="E15" s="7">
        <v>122</v>
      </c>
      <c r="F15" s="7">
        <v>23</v>
      </c>
    </row>
    <row r="16" spans="1:6" ht="16.5" thickTop="1" thickBot="1" x14ac:dyDescent="0.3">
      <c r="A16" s="5">
        <v>46002</v>
      </c>
      <c r="B16" s="6"/>
      <c r="C16" s="7">
        <v>134.6</v>
      </c>
      <c r="D16" s="7">
        <v>66.599999999999994</v>
      </c>
      <c r="E16" s="7">
        <v>59</v>
      </c>
      <c r="F16" s="7">
        <v>9</v>
      </c>
    </row>
    <row r="17" spans="1:6" ht="16.5" thickTop="1" thickBot="1" x14ac:dyDescent="0.3">
      <c r="A17" s="5">
        <v>46003</v>
      </c>
      <c r="B17" s="6"/>
      <c r="C17" s="7">
        <v>657.3</v>
      </c>
      <c r="D17" s="7">
        <v>297</v>
      </c>
      <c r="E17" s="7">
        <v>300</v>
      </c>
      <c r="F17" s="7">
        <v>60.3</v>
      </c>
    </row>
    <row r="18" spans="1:6" ht="16.5" thickTop="1" thickBot="1" x14ac:dyDescent="0.3">
      <c r="A18" s="5">
        <v>46004</v>
      </c>
      <c r="B18" s="6"/>
      <c r="C18" s="7">
        <v>934.45</v>
      </c>
      <c r="D18" s="7">
        <v>337.85</v>
      </c>
      <c r="E18" s="7">
        <v>443.5</v>
      </c>
      <c r="F18" s="7">
        <v>153.1</v>
      </c>
    </row>
    <row r="19" spans="1:6" ht="16.5" thickTop="1" thickBot="1" x14ac:dyDescent="0.3">
      <c r="A19" s="5">
        <v>46005</v>
      </c>
      <c r="B19" s="6"/>
      <c r="C19" s="7">
        <v>652.6</v>
      </c>
      <c r="D19" s="7">
        <v>143.1</v>
      </c>
      <c r="E19" s="7">
        <v>412</v>
      </c>
      <c r="F19" s="7">
        <v>97.5</v>
      </c>
    </row>
    <row r="20" spans="1:6" ht="16.5" thickTop="1" thickBot="1" x14ac:dyDescent="0.3">
      <c r="A20" s="5">
        <v>46006</v>
      </c>
      <c r="B20" s="6"/>
      <c r="C20" s="7">
        <v>0</v>
      </c>
      <c r="D20" s="7">
        <v>0</v>
      </c>
      <c r="E20" s="7">
        <v>0</v>
      </c>
      <c r="F20" s="7">
        <v>0</v>
      </c>
    </row>
    <row r="21" spans="1:6" ht="16.5" thickTop="1" thickBot="1" x14ac:dyDescent="0.3">
      <c r="A21" s="5">
        <v>46007</v>
      </c>
      <c r="B21" s="6"/>
      <c r="C21" s="7">
        <v>163.9</v>
      </c>
      <c r="D21" s="7">
        <v>65.7</v>
      </c>
      <c r="E21" s="7">
        <v>65</v>
      </c>
      <c r="F21" s="7">
        <v>33.200000000000003</v>
      </c>
    </row>
    <row r="22" spans="1:6" ht="16.5" thickTop="1" thickBot="1" x14ac:dyDescent="0.3">
      <c r="A22" s="5">
        <v>46008</v>
      </c>
      <c r="B22" s="6"/>
      <c r="C22" s="7">
        <v>399</v>
      </c>
      <c r="D22" s="7">
        <v>90</v>
      </c>
      <c r="E22" s="7">
        <v>227</v>
      </c>
      <c r="F22" s="7">
        <v>82</v>
      </c>
    </row>
    <row r="23" spans="1:6" ht="16.5" thickTop="1" thickBot="1" x14ac:dyDescent="0.3">
      <c r="A23" s="5">
        <v>46009</v>
      </c>
      <c r="B23" s="6"/>
      <c r="C23" s="7">
        <v>218.05</v>
      </c>
      <c r="D23" s="7">
        <v>102.55</v>
      </c>
      <c r="E23" s="7">
        <v>101</v>
      </c>
      <c r="F23" s="7">
        <v>14.5</v>
      </c>
    </row>
    <row r="24" spans="1:6" ht="16.5" thickTop="1" thickBot="1" x14ac:dyDescent="0.3">
      <c r="A24" s="5">
        <v>46010</v>
      </c>
      <c r="B24" s="6"/>
      <c r="C24" s="7">
        <v>338.95</v>
      </c>
      <c r="D24" s="7">
        <v>250.65</v>
      </c>
      <c r="E24" s="7">
        <v>67</v>
      </c>
      <c r="F24" s="7">
        <v>21.3</v>
      </c>
    </row>
    <row r="25" spans="1:6" ht="16.5" thickTop="1" thickBot="1" x14ac:dyDescent="0.3">
      <c r="A25" s="5">
        <v>46011</v>
      </c>
      <c r="B25" s="6"/>
      <c r="C25" s="7">
        <v>737.45</v>
      </c>
      <c r="D25" s="7">
        <v>257.35000000000002</v>
      </c>
      <c r="E25" s="7">
        <v>414</v>
      </c>
      <c r="F25" s="7">
        <v>66.099999999999994</v>
      </c>
    </row>
    <row r="26" spans="1:6" ht="16.5" thickTop="1" thickBot="1" x14ac:dyDescent="0.3">
      <c r="A26" s="5">
        <v>46012</v>
      </c>
      <c r="B26" s="6"/>
      <c r="C26" s="7">
        <v>485.05</v>
      </c>
      <c r="D26" s="7">
        <v>136.05000000000001</v>
      </c>
      <c r="E26" s="7">
        <v>273.5</v>
      </c>
      <c r="F26" s="7">
        <v>75.5</v>
      </c>
    </row>
    <row r="27" spans="1:6" ht="16.5" thickTop="1" thickBot="1" x14ac:dyDescent="0.3">
      <c r="A27" s="5">
        <v>46013</v>
      </c>
      <c r="B27" s="6"/>
      <c r="C27" s="7">
        <v>0</v>
      </c>
      <c r="D27" s="7">
        <v>0</v>
      </c>
      <c r="E27" s="7">
        <v>0</v>
      </c>
      <c r="F27" s="7">
        <v>0</v>
      </c>
    </row>
    <row r="28" spans="1:6" ht="16.5" thickTop="1" thickBot="1" x14ac:dyDescent="0.3">
      <c r="A28" s="5">
        <v>46014</v>
      </c>
      <c r="B28" s="6"/>
      <c r="C28" s="7">
        <v>536.29999999999995</v>
      </c>
      <c r="D28" s="7">
        <v>180</v>
      </c>
      <c r="E28" s="7">
        <v>245</v>
      </c>
      <c r="F28" s="7">
        <v>111.3</v>
      </c>
    </row>
    <row r="29" spans="1:6" ht="16.5" thickTop="1" thickBot="1" x14ac:dyDescent="0.3">
      <c r="A29" s="5">
        <v>46015</v>
      </c>
      <c r="B29" s="6"/>
      <c r="C29" s="7">
        <v>0</v>
      </c>
      <c r="D29" s="7">
        <v>0</v>
      </c>
      <c r="E29" s="7">
        <v>0</v>
      </c>
      <c r="F29" s="7">
        <v>0</v>
      </c>
    </row>
    <row r="30" spans="1:6" ht="16.5" thickTop="1" thickBot="1" x14ac:dyDescent="0.3">
      <c r="A30" s="5">
        <v>46016</v>
      </c>
      <c r="B30" s="6"/>
      <c r="C30" s="7">
        <v>85.1</v>
      </c>
      <c r="D30" s="7">
        <v>17.100000000000001</v>
      </c>
      <c r="E30" s="7">
        <v>58</v>
      </c>
      <c r="F30" s="7">
        <v>10</v>
      </c>
    </row>
    <row r="31" spans="1:6" ht="16.5" thickTop="1" thickBot="1" x14ac:dyDescent="0.3">
      <c r="A31" s="5">
        <v>46017</v>
      </c>
      <c r="B31" s="6"/>
      <c r="C31" s="7">
        <v>374.6</v>
      </c>
      <c r="D31" s="7">
        <v>26.1</v>
      </c>
      <c r="E31" s="7">
        <v>268.5</v>
      </c>
      <c r="F31" s="7">
        <v>80</v>
      </c>
    </row>
    <row r="32" spans="1:6" ht="16.5" thickTop="1" thickBot="1" x14ac:dyDescent="0.3">
      <c r="A32" s="5">
        <v>46018</v>
      </c>
      <c r="B32" s="6"/>
      <c r="C32" s="7"/>
      <c r="D32" s="7"/>
      <c r="E32" s="7"/>
      <c r="F32" s="7"/>
    </row>
    <row r="33" spans="1:6" ht="16.5" thickTop="1" thickBot="1" x14ac:dyDescent="0.3">
      <c r="A33" s="5">
        <v>46019</v>
      </c>
      <c r="B33" s="6"/>
      <c r="C33" s="7"/>
      <c r="D33" s="7"/>
      <c r="E33" s="7"/>
      <c r="F33" s="7"/>
    </row>
    <row r="34" spans="1:6" ht="16.5" thickTop="1" thickBot="1" x14ac:dyDescent="0.3">
      <c r="A34" s="5">
        <v>46020</v>
      </c>
      <c r="B34" s="6"/>
      <c r="C34" s="7"/>
      <c r="D34" s="7"/>
      <c r="E34" s="7"/>
      <c r="F34" s="7"/>
    </row>
    <row r="35" spans="1:6" ht="16.5" thickTop="1" thickBot="1" x14ac:dyDescent="0.3">
      <c r="A35" s="5">
        <v>46021</v>
      </c>
      <c r="B35" s="6"/>
      <c r="C35" s="7"/>
      <c r="D35" s="7"/>
      <c r="E35" s="7"/>
      <c r="F35" s="7"/>
    </row>
    <row r="36" spans="1:6" ht="16.5" thickTop="1" thickBot="1" x14ac:dyDescent="0.3">
      <c r="A36" s="5">
        <v>46022</v>
      </c>
      <c r="B36" s="6"/>
      <c r="C36" s="7"/>
      <c r="D36" s="7"/>
      <c r="E36" s="7"/>
      <c r="F36" s="7"/>
    </row>
    <row r="37" spans="1:6" ht="16.5" thickTop="1" thickBot="1" x14ac:dyDescent="0.3">
      <c r="A37" s="16"/>
      <c r="B37" s="2" t="s">
        <v>0</v>
      </c>
      <c r="C37" s="1">
        <f>SUM(C6:C36)</f>
        <v>8207.75</v>
      </c>
      <c r="D37" s="12">
        <f>SUM(D6:D36)</f>
        <v>2735.95</v>
      </c>
      <c r="E37" s="12">
        <f>SUM(E6:E36)</f>
        <v>4254</v>
      </c>
      <c r="F37" s="12">
        <f>SUM(F6:F36)</f>
        <v>1217.8</v>
      </c>
    </row>
    <row r="38" spans="1:6" ht="16.5" thickTop="1" thickBot="1" x14ac:dyDescent="0.3">
      <c r="A38" s="17"/>
      <c r="B38" s="8" t="s">
        <v>1</v>
      </c>
      <c r="C38" s="18"/>
      <c r="D38" s="13">
        <f>SUM(D37/1.06)</f>
        <v>2581.084905660377</v>
      </c>
      <c r="E38" s="13">
        <f>SUM(E37/1.12)</f>
        <v>3798.2142857142853</v>
      </c>
      <c r="F38" s="13">
        <f>SUM(F37/1.21)</f>
        <v>1006.4462809917355</v>
      </c>
    </row>
    <row r="39" spans="1:6" ht="16.5" thickTop="1" thickBot="1" x14ac:dyDescent="0.3">
      <c r="A39" s="17"/>
      <c r="B39" s="10" t="s">
        <v>2</v>
      </c>
      <c r="C39" s="19"/>
      <c r="D39" s="14">
        <f>SUM(D38*6%)</f>
        <v>154.8650943396226</v>
      </c>
      <c r="E39" s="14">
        <f>SUM(E38*12%)</f>
        <v>455.78571428571422</v>
      </c>
      <c r="F39" s="14">
        <f>SUM(F38*21%)</f>
        <v>211.35371900826445</v>
      </c>
    </row>
    <row r="40" spans="1:6" ht="16.5" thickTop="1" thickBot="1" x14ac:dyDescent="0.3">
      <c r="A40" s="17"/>
      <c r="B40" s="9" t="s">
        <v>0</v>
      </c>
      <c r="C40" s="20"/>
      <c r="D40" s="15">
        <f>SUM(D38:D39)</f>
        <v>2735.95</v>
      </c>
      <c r="E40" s="15">
        <f>SUM(E38:E39)</f>
        <v>4254</v>
      </c>
      <c r="F40" s="15">
        <f>SUM(F38:F39)</f>
        <v>1217.8</v>
      </c>
    </row>
    <row r="41" spans="1:6" ht="15.75" thickTop="1" x14ac:dyDescent="0.25"/>
  </sheetData>
  <mergeCells count="2">
    <mergeCell ref="A37:A40"/>
    <mergeCell ref="C38:C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Maart</vt:lpstr>
      <vt:lpstr>April</vt:lpstr>
      <vt:lpstr>Mei</vt:lpstr>
      <vt:lpstr>Juni</vt:lpstr>
      <vt:lpstr>Juli</vt:lpstr>
      <vt:lpstr>Augustus</vt:lpstr>
      <vt:lpstr>September</vt:lpstr>
      <vt:lpstr>Oktober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Pita Pizza Napoli</dc:creator>
  <cp:lastModifiedBy>Abdullah Gultekin</cp:lastModifiedBy>
  <dcterms:created xsi:type="dcterms:W3CDTF">2018-12-14T14:39:57Z</dcterms:created>
  <dcterms:modified xsi:type="dcterms:W3CDTF">2025-12-26T19:18:53Z</dcterms:modified>
</cp:coreProperties>
</file>