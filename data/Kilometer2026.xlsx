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codeName="ThisWorkbook"/>
  <mc:AlternateContent xmlns:mc="http://schemas.openxmlformats.org/markup-compatibility/2006">
    <mc:Choice Requires="x15">
      <x15ac:absPath xmlns:x15ac="http://schemas.microsoft.com/office/spreadsheetml/2010/11/ac" url="/Users/abdullahgultekin/Documents/"/>
    </mc:Choice>
  </mc:AlternateContent>
  <xr:revisionPtr revIDLastSave="0" documentId="8_{53260F9C-AB6D-364B-BB93-EF15E5756E1A}" xr6:coauthVersionLast="47" xr6:coauthVersionMax="47" xr10:uidLastSave="{00000000-0000-0000-0000-000000000000}"/>
  <bookViews>
    <workbookView xWindow="0" yWindow="680" windowWidth="29400" windowHeight="16920" tabRatio="685" activeTab="1" xr2:uid="{00000000-000D-0000-FFFF-FFFF00000000}"/>
  </bookViews>
  <sheets>
    <sheet name="Januari" sheetId="4" r:id="rId1"/>
    <sheet name="Werknemers" sheetId="27" r:id="rId2"/>
    <sheet name="Februari" sheetId="5" r:id="rId3"/>
    <sheet name="Maart" sheetId="17" r:id="rId4"/>
    <sheet name="April" sheetId="18" r:id="rId5"/>
    <sheet name="Mei" sheetId="19" r:id="rId6"/>
    <sheet name="Juni" sheetId="20" r:id="rId7"/>
    <sheet name="Juli" sheetId="21" r:id="rId8"/>
    <sheet name="Augustus" sheetId="22" r:id="rId9"/>
    <sheet name="September" sheetId="23" r:id="rId10"/>
    <sheet name="Oktober" sheetId="24" r:id="rId11"/>
    <sheet name="November" sheetId="25" r:id="rId12"/>
    <sheet name="December" sheetId="15" r:id="rId13"/>
  </sheets>
  <definedNames>
    <definedName name="_xlnm.Print_Titles" localSheetId="4">April!$3:$5</definedName>
    <definedName name="_xlnm.Print_Titles" localSheetId="8">Augustus!$3:$5</definedName>
    <definedName name="_xlnm.Print_Titles" localSheetId="12">December!$3:$5</definedName>
    <definedName name="_xlnm.Print_Titles" localSheetId="2">Februari!$4:$6</definedName>
    <definedName name="_xlnm.Print_Titles" localSheetId="0">Januari!$4:$6</definedName>
    <definedName name="_xlnm.Print_Titles" localSheetId="7">Juli!$3:$5</definedName>
    <definedName name="_xlnm.Print_Titles" localSheetId="6">Juni!$3:$5</definedName>
    <definedName name="_xlnm.Print_Titles" localSheetId="3">Maart!$3:$5</definedName>
    <definedName name="_xlnm.Print_Titles" localSheetId="5">Mei!$3:$5</definedName>
    <definedName name="_xlnm.Print_Titles" localSheetId="11">November!$3:$5</definedName>
    <definedName name="_xlnm.Print_Titles" localSheetId="10">Oktober!$3:$5</definedName>
    <definedName name="_xlnm.Print_Titles" localSheetId="9">September!$3:$5</definedName>
    <definedName name="CalendarYear">Januari!$AK$4</definedName>
    <definedName name="ColumnTitle13">#REF!</definedName>
    <definedName name="Employee_Absence_Title">Januari!$B$1</definedName>
    <definedName name="Key_name">Januari!$B$2</definedName>
    <definedName name="KeyCustom1">Januari!$Q$2</definedName>
    <definedName name="KeyCustom1Label">Januari!$R$2</definedName>
    <definedName name="KeyCustom2">Januari!$U$2</definedName>
    <definedName name="KeyCustom2Label">Januari!$V$2</definedName>
    <definedName name="KeyPersonal">Januari!$J$2</definedName>
    <definedName name="KeyPersonalLabel">Januari!$K$2</definedName>
    <definedName name="KeySick">Januari!$N$2</definedName>
    <definedName name="KeySickLabel">Januari!$O$2</definedName>
    <definedName name="KeyVacation">Januari!$F$2</definedName>
    <definedName name="KeyVacationLabel">Januari!$G$2</definedName>
    <definedName name="MonthName" localSheetId="4">April!$A$3</definedName>
    <definedName name="MonthName" localSheetId="8">Augustus!$A$3</definedName>
    <definedName name="MonthName" localSheetId="12">December!$A$3</definedName>
    <definedName name="MonthName" localSheetId="2">Februari!$A$4</definedName>
    <definedName name="MonthName" localSheetId="0">Januari!$B$4</definedName>
    <definedName name="MonthName" localSheetId="7">Juli!$A$3</definedName>
    <definedName name="MonthName" localSheetId="6">Juni!$A$3</definedName>
    <definedName name="MonthName" localSheetId="3">Maart!$A$3</definedName>
    <definedName name="MonthName" localSheetId="5">Mei!$A$3</definedName>
    <definedName name="MonthName" localSheetId="11">November!$A$3</definedName>
    <definedName name="MonthName" localSheetId="10">Oktober!$A$3</definedName>
    <definedName name="MonthName" localSheetId="9">September!$A$3</definedName>
    <definedName name="Titel1">Januari[[#Headers],[Naam werknemer]]</definedName>
    <definedName name="Titel10">Oktober[[#Headers],[Naam van werknemer]]</definedName>
    <definedName name="Titel11">November[[#Headers],[Naam van werknemer]]</definedName>
    <definedName name="Titel12">December[[#Headers],[Naam van werknemer]]</definedName>
    <definedName name="Titel2">Februari[[#Headers],[Naam van werknemer]]</definedName>
    <definedName name="Titel3">Maart[[#Headers],[Naam van werknemer]]</definedName>
    <definedName name="Titel4">April[[#Headers],[Naam van werknemer]]</definedName>
    <definedName name="Titel5">Mei[[#Headers],[Naam van werknemer]]</definedName>
    <definedName name="Titel6">Juni[[#Headers],[Naam van werknemer]]</definedName>
    <definedName name="Titel7">Juli[[#Headers],[Naam van werknemer]]</definedName>
    <definedName name="Titel8">Augustus[[#Headers],[Naam van werknemer]]</definedName>
    <definedName name="Titel9">September[[#Headers],[Naam van werknemer]]</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9" i="20" l="1"/>
  <c r="AJ9" i="20" s="1"/>
  <c r="AJ10" i="19"/>
  <c r="AJ9" i="5"/>
  <c r="AK9" i="5" s="1"/>
  <c r="AK7" i="15"/>
  <c r="AK8" i="15"/>
  <c r="AK9" i="15"/>
  <c r="AK10" i="15"/>
  <c r="AK11" i="15"/>
  <c r="AK12" i="15"/>
  <c r="AK6" i="15"/>
  <c r="AJ7" i="25"/>
  <c r="AJ8" i="25"/>
  <c r="AJ9" i="25"/>
  <c r="AJ10" i="25"/>
  <c r="AJ11" i="25"/>
  <c r="AJ12" i="25"/>
  <c r="AJ6" i="25"/>
  <c r="AK7" i="24"/>
  <c r="AK8" i="24"/>
  <c r="AK9" i="24"/>
  <c r="AK10" i="24"/>
  <c r="AK11" i="24"/>
  <c r="AK12" i="24"/>
  <c r="AK6" i="24"/>
  <c r="AJ7" i="23"/>
  <c r="AJ8" i="23"/>
  <c r="AJ9" i="23"/>
  <c r="AJ10" i="23"/>
  <c r="AJ11" i="23"/>
  <c r="AJ6" i="23"/>
  <c r="AK7" i="22"/>
  <c r="AK8" i="22"/>
  <c r="AK6" i="22"/>
  <c r="F4" i="19"/>
  <c r="G4" i="19"/>
  <c r="H4" i="19"/>
  <c r="I4" i="19"/>
  <c r="J4" i="19"/>
  <c r="K4" i="19"/>
  <c r="L4" i="19"/>
  <c r="M4" i="19"/>
  <c r="N4" i="19"/>
  <c r="O4" i="19"/>
  <c r="P4" i="19"/>
  <c r="Q4" i="19"/>
  <c r="R4" i="19"/>
  <c r="S4" i="19"/>
  <c r="T4" i="19"/>
  <c r="U4" i="19"/>
  <c r="V4" i="19"/>
  <c r="W4" i="19"/>
  <c r="X4" i="19"/>
  <c r="Y4" i="19"/>
  <c r="Z4" i="19"/>
  <c r="AA4" i="19"/>
  <c r="AB4" i="19"/>
  <c r="AC4" i="19"/>
  <c r="AD4" i="19"/>
  <c r="AE4" i="19"/>
  <c r="AF4" i="19"/>
  <c r="AG4" i="19"/>
  <c r="AH4" i="19"/>
  <c r="AI4" i="19"/>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AH4" i="18"/>
  <c r="AI4" i="17"/>
  <c r="AH4" i="17"/>
  <c r="AG4" i="17"/>
  <c r="AF4" i="17"/>
  <c r="AE4" i="17"/>
  <c r="AD4" i="17"/>
  <c r="AC4" i="17"/>
  <c r="AB4" i="17"/>
  <c r="AA4" i="17"/>
  <c r="Z4" i="17"/>
  <c r="Y4" i="17"/>
  <c r="X4" i="17"/>
  <c r="W4" i="17"/>
  <c r="V4" i="17"/>
  <c r="U4" i="17"/>
  <c r="T4" i="17"/>
  <c r="S4" i="17"/>
  <c r="R4" i="17"/>
  <c r="Q4" i="17"/>
  <c r="P4" i="17"/>
  <c r="O4" i="17"/>
  <c r="N4" i="17"/>
  <c r="M4" i="17"/>
  <c r="L4" i="17"/>
  <c r="K4" i="17"/>
  <c r="J4" i="17"/>
  <c r="I4" i="17"/>
  <c r="H4" i="17"/>
  <c r="G4" i="17"/>
  <c r="F4" i="17"/>
  <c r="E4" i="18"/>
  <c r="E4" i="20"/>
  <c r="E4" i="19"/>
  <c r="E4" i="17"/>
  <c r="E5" i="5"/>
  <c r="F5" i="4" l="1"/>
  <c r="AL7" i="4" l="1"/>
  <c r="AL8" i="4"/>
  <c r="AL9" i="4"/>
  <c r="AL10" i="4"/>
  <c r="AI6" i="25"/>
  <c r="AI7" i="25"/>
  <c r="AI8" i="25"/>
  <c r="AI9" i="25"/>
  <c r="AI10" i="25"/>
  <c r="AI11" i="25"/>
  <c r="AJ6" i="17"/>
  <c r="AK6" i="17" s="1"/>
  <c r="AJ7" i="17"/>
  <c r="AK7" i="17" s="1"/>
  <c r="AJ8" i="17"/>
  <c r="AK8" i="17" s="1"/>
  <c r="AJ9" i="17"/>
  <c r="AK9" i="17" s="1"/>
  <c r="AJ10" i="17"/>
  <c r="AK10" i="17" s="1"/>
  <c r="AJ11" i="17"/>
  <c r="AK11" i="17" s="1"/>
  <c r="AH4" i="20"/>
  <c r="AG4" i="20"/>
  <c r="AF4" i="20"/>
  <c r="AE4" i="20"/>
  <c r="AD4" i="20"/>
  <c r="AC4" i="20"/>
  <c r="AB4" i="20"/>
  <c r="AA4" i="20"/>
  <c r="Z4" i="20"/>
  <c r="Y4" i="20"/>
  <c r="X4" i="20"/>
  <c r="W4" i="20"/>
  <c r="V4" i="20"/>
  <c r="U4" i="20"/>
  <c r="T4" i="20"/>
  <c r="AJ8" i="5" l="1"/>
  <c r="AK8" i="5" s="1"/>
  <c r="AJ7" i="5"/>
  <c r="AK7" i="5" s="1"/>
  <c r="AJ10" i="5"/>
  <c r="AK10" i="5" s="1"/>
  <c r="AJ11" i="5" l="1"/>
  <c r="AK11" i="5" s="1"/>
  <c r="AL11" i="4" l="1"/>
  <c r="AK12" i="5"/>
  <c r="AJ11" i="15" l="1"/>
  <c r="AJ7" i="15"/>
  <c r="AJ12" i="15"/>
  <c r="AJ10" i="15"/>
  <c r="AJ8" i="15"/>
  <c r="AJ6" i="15"/>
  <c r="AJ9" i="15"/>
  <c r="AI12" i="25"/>
  <c r="AJ9" i="24"/>
  <c r="AJ12" i="24"/>
  <c r="AJ8" i="24"/>
  <c r="AJ11" i="24"/>
  <c r="AJ7" i="24"/>
  <c r="AJ6" i="24"/>
  <c r="AJ10" i="24"/>
  <c r="AI11" i="23"/>
  <c r="AI8" i="23"/>
  <c r="AI10" i="23"/>
  <c r="AI7" i="23"/>
  <c r="AI6" i="23"/>
  <c r="AI9" i="23"/>
  <c r="AJ8" i="22"/>
  <c r="AJ6" i="22"/>
  <c r="AJ7" i="22"/>
  <c r="AJ9" i="21"/>
  <c r="AK9" i="21" s="1"/>
  <c r="AJ7" i="21"/>
  <c r="AK7" i="21" s="1"/>
  <c r="AJ6" i="21"/>
  <c r="AK6" i="21" s="1"/>
  <c r="AJ8" i="21"/>
  <c r="AK8" i="21" s="1"/>
  <c r="AI11" i="20"/>
  <c r="AJ11" i="20" s="1"/>
  <c r="AI8" i="20"/>
  <c r="AJ8" i="20" s="1"/>
  <c r="AI7" i="20"/>
  <c r="AJ7" i="20" s="1"/>
  <c r="AI6" i="20"/>
  <c r="AJ6" i="20" s="1"/>
  <c r="AI10" i="20"/>
  <c r="AJ10" i="20" s="1"/>
  <c r="AJ11" i="19"/>
  <c r="AK11" i="19" s="1"/>
  <c r="AJ8" i="19"/>
  <c r="AK8" i="19" s="1"/>
  <c r="AJ7" i="19"/>
  <c r="AK7" i="19" s="1"/>
  <c r="AJ6" i="19"/>
  <c r="AK6" i="19" s="1"/>
  <c r="AJ9" i="19"/>
  <c r="AK9" i="19" s="1"/>
  <c r="AI11" i="18"/>
  <c r="AJ11" i="18" s="1"/>
  <c r="AI8" i="18"/>
  <c r="AJ8" i="18" s="1"/>
  <c r="AI10" i="18"/>
  <c r="AJ10" i="18" s="1"/>
  <c r="AI7" i="18"/>
  <c r="AJ7" i="18" s="1"/>
  <c r="AI6" i="18"/>
  <c r="AJ6" i="18" s="1"/>
  <c r="AI9" i="18"/>
  <c r="AJ9" i="18" s="1"/>
  <c r="AK13" i="15" l="1"/>
  <c r="AJ13" i="25"/>
  <c r="AJ12" i="23"/>
  <c r="AK9" i="22"/>
  <c r="AJ12" i="18"/>
  <c r="AK13" i="24"/>
  <c r="AK12" i="17"/>
  <c r="AJ12" i="20"/>
  <c r="A1" i="17"/>
  <c r="A1" i="21"/>
  <c r="A1" i="19"/>
  <c r="A1" i="23"/>
  <c r="A1" i="24"/>
  <c r="A1" i="22"/>
  <c r="A1" i="15"/>
  <c r="A1" i="5"/>
  <c r="A1" i="20"/>
  <c r="A1" i="18"/>
  <c r="A1" i="25"/>
  <c r="AI4" i="15"/>
  <c r="F4" i="15"/>
  <c r="J4" i="15"/>
  <c r="P4" i="22"/>
  <c r="M4" i="25"/>
  <c r="P4" i="25"/>
  <c r="AB4" i="22"/>
  <c r="K4" i="24"/>
  <c r="R5" i="4"/>
  <c r="H5" i="4"/>
  <c r="W4" i="24"/>
  <c r="AE5" i="4"/>
  <c r="J5" i="4"/>
  <c r="M4" i="23"/>
  <c r="O5" i="5"/>
  <c r="AE4" i="23"/>
  <c r="P4" i="24"/>
  <c r="V4" i="25"/>
  <c r="L4" i="22"/>
  <c r="V4" i="23"/>
  <c r="AH4" i="25"/>
  <c r="AF5" i="4"/>
  <c r="U5" i="5"/>
  <c r="AD4" i="15"/>
  <c r="F4" i="20"/>
  <c r="Q4" i="15"/>
  <c r="K4" i="15"/>
  <c r="AF5" i="5"/>
  <c r="V5" i="5"/>
  <c r="J4" i="21"/>
  <c r="V4" i="22"/>
  <c r="AF4" i="22"/>
  <c r="G4" i="23"/>
  <c r="K5" i="4"/>
  <c r="I4" i="21"/>
  <c r="Y4" i="24"/>
  <c r="N4" i="20"/>
  <c r="AC4" i="22"/>
  <c r="V4" i="24"/>
  <c r="AG4" i="21"/>
  <c r="S4" i="21"/>
  <c r="AI5" i="4"/>
  <c r="N4" i="24"/>
  <c r="W4" i="21"/>
  <c r="K4" i="21"/>
  <c r="Q4" i="20"/>
  <c r="E4" i="15"/>
  <c r="I4" i="15"/>
  <c r="AA4" i="21"/>
  <c r="AA4" i="22"/>
  <c r="AG4" i="23"/>
  <c r="X4" i="15"/>
  <c r="F4" i="25"/>
  <c r="AA5" i="4"/>
  <c r="AB5" i="4"/>
  <c r="AB4" i="21"/>
  <c r="T4" i="23"/>
  <c r="AD4" i="25"/>
  <c r="E4" i="21"/>
  <c r="AD4" i="23"/>
  <c r="V4" i="15"/>
  <c r="U4" i="23"/>
  <c r="E4" i="23"/>
  <c r="P4" i="23"/>
  <c r="T4" i="22"/>
  <c r="O4" i="15"/>
  <c r="AB4" i="23"/>
  <c r="G4" i="24"/>
  <c r="G5" i="4"/>
  <c r="AJ3" i="21"/>
  <c r="I4" i="20"/>
  <c r="L4" i="15"/>
  <c r="AA4" i="25"/>
  <c r="N5" i="4"/>
  <c r="AD5" i="4"/>
  <c r="X4" i="21"/>
  <c r="Q4" i="23"/>
  <c r="R4" i="21"/>
  <c r="U5" i="4"/>
  <c r="S4" i="23"/>
  <c r="P4" i="21"/>
  <c r="K4" i="23"/>
  <c r="Q4" i="24"/>
  <c r="AD5" i="5"/>
  <c r="G4" i="22"/>
  <c r="AF4" i="21"/>
  <c r="N4" i="25"/>
  <c r="AH4" i="21"/>
  <c r="L4" i="23"/>
  <c r="AC4" i="24"/>
  <c r="AF4" i="24"/>
  <c r="AC4" i="15"/>
  <c r="F4" i="24"/>
  <c r="G5" i="5"/>
  <c r="H4" i="23"/>
  <c r="H4" i="21"/>
  <c r="Y4" i="22"/>
  <c r="W5" i="4"/>
  <c r="S4" i="20"/>
  <c r="O4" i="25"/>
  <c r="AB4" i="15"/>
  <c r="U4" i="22"/>
  <c r="P4" i="20"/>
  <c r="AB5" i="5"/>
  <c r="S5" i="5"/>
  <c r="AI3" i="18"/>
  <c r="I5" i="5"/>
  <c r="J4" i="25"/>
  <c r="AF4" i="25"/>
  <c r="AF4" i="15"/>
  <c r="K5" i="5"/>
  <c r="M4" i="24"/>
  <c r="AG4" i="15"/>
  <c r="N4" i="23"/>
  <c r="AI4" i="24"/>
  <c r="N4" i="15"/>
  <c r="AD4" i="24"/>
  <c r="G4" i="21"/>
  <c r="R4" i="24"/>
  <c r="AA5" i="5"/>
  <c r="AJ3" i="17"/>
  <c r="W4" i="15"/>
  <c r="L4" i="25"/>
  <c r="AE4" i="22"/>
  <c r="T5" i="4"/>
  <c r="Y4" i="15"/>
  <c r="T5" i="5"/>
  <c r="E4" i="22"/>
  <c r="K4" i="25"/>
  <c r="T4" i="25"/>
  <c r="Y5" i="4"/>
  <c r="P5" i="5"/>
  <c r="Z4" i="22"/>
  <c r="F4" i="23"/>
  <c r="AA4" i="15"/>
  <c r="H5" i="5"/>
  <c r="R4" i="25"/>
  <c r="Y5" i="5"/>
  <c r="Z4" i="24"/>
  <c r="L5" i="5"/>
  <c r="P5" i="4"/>
  <c r="AC5" i="5"/>
  <c r="S4" i="22"/>
  <c r="M5" i="5"/>
  <c r="Q5" i="5"/>
  <c r="V5" i="4"/>
  <c r="AI4" i="21"/>
  <c r="W5" i="5"/>
  <c r="O4" i="20"/>
  <c r="I4" i="23"/>
  <c r="Y4" i="23"/>
  <c r="AH5" i="4"/>
  <c r="F4" i="22"/>
  <c r="F4" i="21"/>
  <c r="Y4" i="25"/>
  <c r="Y4" i="21"/>
  <c r="L4" i="24"/>
  <c r="J4" i="22"/>
  <c r="I5" i="4"/>
  <c r="T4" i="15"/>
  <c r="AC4" i="25"/>
  <c r="G4" i="25"/>
  <c r="Q4" i="25"/>
  <c r="X4" i="25"/>
  <c r="W4" i="22"/>
  <c r="AE4" i="15"/>
  <c r="L4" i="20"/>
  <c r="AJ3" i="24"/>
  <c r="AJ3" i="19"/>
  <c r="AE4" i="25"/>
  <c r="O4" i="21"/>
  <c r="W4" i="25"/>
  <c r="AD4" i="22"/>
  <c r="AH4" i="22"/>
  <c r="M4" i="15"/>
  <c r="J4" i="20"/>
  <c r="O4" i="22"/>
  <c r="X4" i="24"/>
  <c r="AB4" i="25"/>
  <c r="I4" i="25"/>
  <c r="AA4" i="23"/>
  <c r="P4" i="15"/>
  <c r="R5" i="5"/>
  <c r="S4" i="15"/>
  <c r="X4" i="22"/>
  <c r="U4" i="24"/>
  <c r="N4" i="22"/>
  <c r="AG5" i="4"/>
  <c r="J4" i="23"/>
  <c r="T4" i="24"/>
  <c r="K4" i="22"/>
  <c r="AJ5" i="4"/>
  <c r="AC4" i="23"/>
  <c r="AE4" i="24"/>
  <c r="O4" i="23"/>
  <c r="AD4" i="21"/>
  <c r="AI3" i="25"/>
  <c r="U4" i="21"/>
  <c r="L5" i="4"/>
  <c r="AJ3" i="15"/>
  <c r="H4" i="22"/>
  <c r="AG4" i="24"/>
  <c r="M4" i="21"/>
  <c r="R4" i="20"/>
  <c r="Z4" i="15"/>
  <c r="Q4" i="22"/>
  <c r="I4" i="24"/>
  <c r="K4" i="20"/>
  <c r="E4" i="24"/>
  <c r="L4" i="21"/>
  <c r="N4" i="21"/>
  <c r="AJ3" i="22"/>
  <c r="AF4" i="23"/>
  <c r="S4" i="24"/>
  <c r="Z5" i="4"/>
  <c r="H4" i="24"/>
  <c r="AI4" i="22"/>
  <c r="M5" i="4"/>
  <c r="Z4" i="23"/>
  <c r="Q4" i="21"/>
  <c r="V4" i="21"/>
  <c r="M4" i="22"/>
  <c r="J5" i="5"/>
  <c r="AI3" i="23"/>
  <c r="Z4" i="25"/>
  <c r="AH4" i="15"/>
  <c r="U4" i="25"/>
  <c r="S4" i="25"/>
  <c r="M4" i="20"/>
  <c r="Z5" i="5"/>
  <c r="AH4" i="23"/>
  <c r="Q5" i="4"/>
  <c r="E4" i="25"/>
  <c r="X4" i="23"/>
  <c r="G4" i="15"/>
  <c r="S5" i="4"/>
  <c r="AA4" i="24"/>
  <c r="AG4" i="22"/>
  <c r="N5" i="5"/>
  <c r="W4" i="23"/>
  <c r="R4" i="23"/>
  <c r="R4" i="22"/>
  <c r="AB4" i="24"/>
  <c r="AC4" i="21"/>
  <c r="AE4" i="21"/>
  <c r="X5" i="5"/>
  <c r="AG5" i="5"/>
  <c r="Z4" i="21"/>
  <c r="T4" i="21"/>
  <c r="AH4" i="24"/>
  <c r="H4" i="20"/>
  <c r="F5" i="5"/>
  <c r="AE5" i="5"/>
  <c r="H4" i="25"/>
  <c r="R4" i="15"/>
  <c r="AJ4" i="5"/>
  <c r="I4" i="22"/>
  <c r="AC5" i="4"/>
  <c r="O5" i="4"/>
  <c r="H4" i="15"/>
  <c r="G4" i="20"/>
  <c r="X5" i="4"/>
  <c r="AI3" i="20"/>
  <c r="AG4" i="25"/>
  <c r="U4" i="15"/>
  <c r="O4" i="24"/>
  <c r="J4" i="24"/>
  <c r="AK10" i="21" l="1"/>
  <c r="AK12" i="19"/>
</calcChain>
</file>

<file path=xl/sharedStrings.xml><?xml version="1.0" encoding="utf-8"?>
<sst xmlns="http://schemas.openxmlformats.org/spreadsheetml/2006/main" count="623" uniqueCount="76">
  <si>
    <t>Januari</t>
  </si>
  <si>
    <t>Gereden km</t>
  </si>
  <si>
    <t>Te betalen</t>
  </si>
  <si>
    <t>Naam van werknemer</t>
  </si>
  <si>
    <t>Begin Km maand</t>
  </si>
  <si>
    <t>Eind Km maand</t>
  </si>
  <si>
    <t>Nummerplaat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</si>
  <si>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</si>
  <si>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</si>
  <si>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</si>
  <si>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</si>
  <si>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</si>
  <si>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</si>
  <si>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</si>
  <si>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</si>
  <si>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</si>
  <si>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</si>
  <si>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</si>
  <si>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</si>
  <si>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</si>
  <si>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</si>
  <si>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</si>
  <si>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</si>
  <si>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</si>
  <si>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</si>
  <si>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</si>
  <si>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</si>
  <si>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</si>
  <si>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</si>
  <si>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</si>
  <si>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</si>
  <si>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</si>
  <si>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</si>
  <si>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</si>
  <si>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</si>
  <si>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</si>
  <si>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</si>
  <si>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</si>
  <si>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Totaal aantal km</t>
  </si>
  <si>
    <t>Handtekening wn</t>
  </si>
  <si>
    <t>Kefes Levent</t>
  </si>
  <si>
    <t>Irakoze Patrick</t>
  </si>
  <si>
    <t>El Maazouzi Abdelilah</t>
  </si>
  <si>
    <t>Biragoye Isaac</t>
  </si>
  <si>
    <t>Februari</t>
  </si>
  <si>
    <t xml:space="preserve"> </t>
  </si>
  <si>
    <t xml:space="preserve">  </t>
  </si>
  <si>
    <t>April</t>
  </si>
  <si>
    <t>Mei</t>
  </si>
  <si>
    <t>Juni</t>
  </si>
  <si>
    <t>Juli</t>
  </si>
  <si>
    <t>Augustus</t>
  </si>
  <si>
    <t>september</t>
  </si>
  <si>
    <t>Oktober</t>
  </si>
  <si>
    <t>November</t>
  </si>
  <si>
    <t>December</t>
  </si>
  <si>
    <t>Totaal kost p/m</t>
  </si>
  <si>
    <t>Totaal</t>
  </si>
  <si>
    <t>Naam werknemer</t>
  </si>
  <si>
    <t>Maart</t>
  </si>
  <si>
    <t>Kilometer werknemers</t>
  </si>
  <si>
    <t>1XCH757</t>
  </si>
  <si>
    <t>1PSF204</t>
  </si>
  <si>
    <t>1CTV786</t>
  </si>
  <si>
    <t>Nsengimana Alexis</t>
  </si>
  <si>
    <t>1SXY394</t>
  </si>
  <si>
    <t>Cygora Lukasz Jan</t>
  </si>
  <si>
    <t>1WGN315</t>
  </si>
  <si>
    <t>1NUN502</t>
  </si>
  <si>
    <t>Elke dag</t>
  </si>
  <si>
    <t>Kolom1</t>
  </si>
  <si>
    <t>Gultekin A</t>
  </si>
  <si>
    <t>1GLN757</t>
  </si>
  <si>
    <t>Eranil Mehmet Fatih</t>
  </si>
  <si>
    <t>2GRW443</t>
  </si>
  <si>
    <t>1GRW443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</si>
</sst>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quot;kr&quot;\ * #,##0.00_-;\-&quot;kr&quot;\ * #,##0.00_-;_-&quot;kr&quot;\ * &quot;-&quot;??_-;_-@_-"/>
    <numFmt numFmtId="165" formatCode="_-&quot;kr&quot;\ * #,##0_-;\-&quot;kr&quot;\ * #,##0_-;_-&quot;kr&quot;\ *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34">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6" tint="0.7999816888943144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thin">
        <color theme="0" tint="-0.14993743705557422"/>
      </top>
      <bottom style="medium">
        <color theme="2" tint="-0.499984740745262"/>
      </bottom>
      <diagonal/>
    </border>
    <border>
      <left style="thin">
        <color theme="0"/>
      </left>
      <right style="thin">
        <color theme="0"/>
      </right>
      <top/>
      <bottom style="medium">
        <color theme="2" tint="-0.499984740745262"/>
      </bottom>
      <diagonal/>
    </border>
    <border>
      <left/>
      <right/>
      <top style="thin">
        <color theme="0" tint="-0.14996795556505021"/>
      </top>
      <bottom style="medium">
        <color theme="2" tint="-0.499984740745262"/>
      </bottom>
      <diagonal/>
    </border>
    <border>
      <left style="medium">
        <color indexed="64"/>
      </left>
      <right style="medium">
        <color indexed="64"/>
      </right>
      <top style="medium">
        <color indexed="64"/>
      </top>
      <bottom style="medium">
        <color indexed="64"/>
      </bottom>
      <diagonal/>
    </border>
  </borders>
  <cellStyleXfs count="49">
    <xf numFmtId="0" fontId="0" fillId="0" borderId="0">
      <alignment horizontal="left" vertical="center"/>
    </xf>
    <xf numFmtId="0" fontId="6" fillId="0" borderId="0" applyNumberFormat="0" applyFill="0" applyBorder="0" applyProtection="0">
      <alignment vertical="top"/>
    </xf>
    <xf numFmtId="0" fontId="4" fillId="0" borderId="0" applyNumberFormat="0" applyFill="0" applyBorder="0" applyProtection="0">
      <alignment vertical="top"/>
    </xf>
    <xf numFmtId="0" fontId="5" fillId="2" borderId="0" applyNumberFormat="0" applyBorder="0" applyProtection="0">
      <alignment horizontal="center" vertical="center"/>
    </xf>
    <xf numFmtId="0" fontId="2" fillId="20" borderId="0" applyNumberFormat="0" applyProtection="0">
      <alignment horizontal="right" vertical="center" indent="1"/>
    </xf>
    <xf numFmtId="0" fontId="1" fillId="0" borderId="0" applyNumberFormat="0" applyFill="0" applyBorder="0" applyProtection="0">
      <alignment horizontal="left" vertical="center" indent="2"/>
    </xf>
    <xf numFmtId="0" fontId="3"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3"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3"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7" fillId="0" borderId="0">
      <alignment horizontal="center"/>
    </xf>
    <xf numFmtId="43"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8" fillId="21" borderId="0" applyNumberFormat="0" applyBorder="0" applyAlignment="0" applyProtection="0"/>
    <xf numFmtId="0" fontId="9" fillId="22" borderId="0" applyNumberFormat="0" applyBorder="0" applyAlignment="0" applyProtection="0"/>
    <xf numFmtId="0" fontId="10" fillId="23" borderId="0" applyNumberFormat="0" applyBorder="0" applyAlignment="0" applyProtection="0"/>
    <xf numFmtId="0" fontId="11" fillId="24" borderId="1" applyNumberFormat="0" applyAlignment="0" applyProtection="0"/>
    <xf numFmtId="0" fontId="12" fillId="25" borderId="2" applyNumberFormat="0" applyAlignment="0" applyProtection="0"/>
    <xf numFmtId="0" fontId="13" fillId="25" borderId="1" applyNumberFormat="0" applyAlignment="0" applyProtection="0"/>
    <xf numFmtId="0" fontId="14" fillId="0" borderId="3" applyNumberFormat="0" applyFill="0" applyAlignment="0" applyProtection="0"/>
    <xf numFmtId="0" fontId="15" fillId="26" borderId="4" applyNumberFormat="0" applyAlignment="0" applyProtection="0"/>
    <xf numFmtId="0" fontId="16" fillId="0" borderId="0" applyNumberFormat="0" applyFill="0" applyBorder="0" applyAlignment="0" applyProtection="0"/>
    <xf numFmtId="0" fontId="1" fillId="27" borderId="5" applyNumberFormat="0" applyFont="0" applyAlignment="0" applyProtection="0"/>
    <xf numFmtId="0" fontId="17" fillId="0" borderId="0" applyNumberFormat="0" applyFill="0" applyBorder="0" applyAlignment="0" applyProtection="0"/>
    <xf numFmtId="0" fontId="1" fillId="28" borderId="0" applyNumberFormat="0" applyBorder="0" applyAlignment="0" applyProtection="0"/>
    <xf numFmtId="0" fontId="1" fillId="29" borderId="0" applyNumberFormat="0" applyBorder="0" applyAlignment="0" applyProtection="0"/>
    <xf numFmtId="0" fontId="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alignment horizontal="left" vertical="center"/>
    </xf>
    <xf numFmtId="0" fontId="0" fillId="0" borderId="0" xfId="0" applyAlignment="1">
      <alignment horizontal="center" vertical="center"/>
    </xf>
    <xf numFmtId="1" fontId="1" fillId="0" borderId="0" xfId="25" applyFill="1" applyBorder="1" applyProtection="1">
      <alignment horizontal="center" vertical="center"/>
    </xf>
    <xf numFmtId="0" fontId="5" fillId="2" borderId="0" xfId="3" applyProtection="1">
      <alignment horizontal="center" vertical="center"/>
    </xf>
    <xf numFmtId="0" fontId="6" fillId="0" borderId="0" xfId="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0" fillId="0" borderId="0" xfId="0" applyAlignment="1">
      <alignment horizontal="left" vertical="center" wrapText="1"/>
    </xf>
    <xf numFmtId="1" fontId="1" fillId="0" borderId="0" xfId="25" applyProtection="1">
      <alignment horizontal="center" vertical="center"/>
    </xf>
    <xf numFmtId="0" fontId="2" fillId="0" borderId="0" xfId="0" applyFont="1">
      <alignment horizontal="left" vertical="center"/>
    </xf>
    <xf numFmtId="0" fontId="0" fillId="0" borderId="6" xfId="0" applyBorder="1">
      <alignment horizontal="left" vertical="center"/>
    </xf>
    <xf numFmtId="0" fontId="2" fillId="0" borderId="0" xfId="0" applyFont="1" applyAlignment="1">
      <alignment horizontal="center" vertical="center"/>
    </xf>
    <xf numFmtId="0" fontId="0" fillId="33" borderId="7" xfId="0" applyFill="1" applyBorder="1">
      <alignment horizontal="left" vertical="center"/>
    </xf>
    <xf numFmtId="0" fontId="0" fillId="33" borderId="8" xfId="0" applyFill="1" applyBorder="1" applyAlignment="1">
      <alignment horizontal="center" vertical="center"/>
    </xf>
    <xf numFmtId="0" fontId="0" fillId="33" borderId="9" xfId="0" applyFill="1" applyBorder="1" applyAlignment="1">
      <alignment horizontal="center" vertical="center"/>
    </xf>
    <xf numFmtId="0" fontId="0" fillId="2" borderId="0" xfId="0" applyFill="1" applyAlignment="1">
      <alignment horizontal="center" vertical="center"/>
    </xf>
    <xf numFmtId="0" fontId="0" fillId="33" borderId="0" xfId="0" applyFill="1" applyAlignment="1">
      <alignment horizontal="center" vertical="center"/>
    </xf>
    <xf numFmtId="0" fontId="6" fillId="0" borderId="0" xfId="1" applyAlignment="1" applyProtection="1">
      <alignment horizontal="center" vertical="top"/>
    </xf>
    <xf numFmtId="0" fontId="0" fillId="0" borderId="0" xfId="0" applyAlignment="1">
      <alignment vertical="center"/>
    </xf>
    <xf numFmtId="0" fontId="5" fillId="2" borderId="0" xfId="3" applyAlignment="1" applyProtection="1">
      <alignment vertical="center"/>
    </xf>
    <xf numFmtId="0" fontId="0" fillId="0" borderId="10" xfId="0" applyBorder="1">
      <alignment horizontal="left" vertical="center"/>
    </xf>
    <xf numFmtId="0" fontId="1" fillId="2" borderId="0" xfId="21" applyBorder="1" applyAlignment="1" applyProtection="1">
      <alignment horizontal="center" vertical="center"/>
    </xf>
    <xf numFmtId="0" fontId="0" fillId="33" borderId="7" xfId="0" applyFill="1" applyBorder="1" applyAlignment="1">
      <alignment horizontal="center" vertical="center"/>
    </xf>
    <xf numFmtId="0" fontId="1" fillId="0" borderId="0" xfId="25" applyNumberFormat="1">
      <alignment horizontal="center" vertical="center"/>
    </xf>
    <xf numFmtId="0" fontId="1" fillId="0" borderId="0" xfId="26" applyFill="1" applyAlignment="1">
      <alignment vertical="center" wrapText="1"/>
    </xf>
    <xf numFmtId="0" fontId="1" fillId="0" borderId="0" xfId="26" applyNumberFormat="1" applyFill="1" applyAlignment="1">
      <alignment horizontal="left" vertical="center" wrapText="1"/>
    </xf>
    <xf numFmtId="0" fontId="1" fillId="0" borderId="0" xfId="26" applyNumberFormat="1" applyFill="1" applyAlignment="1">
      <alignment vertical="center" wrapText="1"/>
    </xf>
    <xf numFmtId="0" fontId="5" fillId="2" borderId="0" xfId="3" applyProtection="1">
      <alignment horizontal="center" vertical="center"/>
    </xf>
  </cellXfs>
  <cellStyles count="49">
    <cellStyle name="20% - Accent1" xfId="15" builtinId="30" customBuiltin="1"/>
    <cellStyle name="20% - Accent2" xfId="44" builtinId="34" customBuiltin="1"/>
    <cellStyle name="20% - Accent3" xfId="21" builtinId="38" customBuiltin="1"/>
    <cellStyle name="20% - Accent4" xfId="7" builtinId="42" customBuiltin="1"/>
    <cellStyle name="20% - Accent5" xfId="47" builtinId="46"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2" xfId="45" builtinId="36" customBuiltin="1"/>
    <cellStyle name="60% - Accent3" xfId="23" builtinId="40" customBuiltin="1"/>
    <cellStyle name="60% - Accent4" xfId="9" builtinId="44" customBuiltin="1"/>
    <cellStyle name="60% - Accent5" xfId="48" builtinId="48"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5" xfId="46" builtinId="45" customBuiltin="1"/>
    <cellStyle name="Accent6" xfId="10" builtinId="49" customBuiltin="1"/>
    <cellStyle name="Berekening" xfId="38" builtinId="22" customBuiltin="1"/>
    <cellStyle name="Controlecel" xfId="40" builtinId="23" customBuiltin="1"/>
    <cellStyle name="Etiket" xfId="27" xr:uid="{00000000-0005-0000-0000-000018000000}"/>
    <cellStyle name="Gekoppelde cel" xfId="39" builtinId="24" customBuiltin="1"/>
    <cellStyle name="Goed" xfId="33" builtinId="26" customBuiltin="1"/>
    <cellStyle name="Invoer" xfId="36" builtinId="20" customBuiltin="1"/>
    <cellStyle name="Komma" xfId="28" builtinId="3" customBuiltin="1"/>
    <cellStyle name="Komma [0]" xfId="29" builtinId="6" customBuiltin="1"/>
    <cellStyle name="Kop 1" xfId="2" builtinId="16" customBuiltin="1"/>
    <cellStyle name="Kop 2" xfId="3" builtinId="17" customBuiltin="1"/>
    <cellStyle name="Kop 3" xfId="4" builtinId="18" customBuiltin="1"/>
    <cellStyle name="Kop 4" xfId="5" builtinId="19" customBuiltin="1"/>
    <cellStyle name="Neutraal" xfId="35" builtinId="28" customBuiltin="1"/>
    <cellStyle name="Notitie" xfId="42" builtinId="10" customBuiltin="1"/>
    <cellStyle name="Ongeldig" xfId="34" builtinId="27" customBuiltin="1"/>
    <cellStyle name="Procent" xfId="32" builtinId="5" customBuiltin="1"/>
    <cellStyle name="Standaard" xfId="0" builtinId="0" customBuiltin="1"/>
    <cellStyle name="Titel" xfId="1" builtinId="15" customBuiltin="1"/>
    <cellStyle name="Totaal" xfId="25" builtinId="25" customBuiltin="1"/>
    <cellStyle name="Uitvoer" xfId="37" builtinId="21" customBuiltin="1"/>
    <cellStyle name="Valuta" xfId="30" builtinId="4" customBuiltin="1"/>
    <cellStyle name="Valuta [0]" xfId="31" builtinId="7" customBuiltin="1"/>
    <cellStyle name="Verklarende tekst" xfId="43" builtinId="53" customBuiltin="1"/>
    <cellStyle name="Waarschuwingstekst" xfId="41" builtinId="11" customBuiltin="1"/>
    <cellStyle name="Werknemer" xfId="26" xr:uid="{00000000-0005-0000-0000-000013000000}"/>
  </cellStyles>
  <dxfs count="952">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alignment horizontal="center" textRotation="0" indent="0" justifyLastLine="0" shrinkToFit="0" readingOrder="0"/>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protection locked="1" hidden="0"/>
    </dxf>
    <dxf>
      <numFmt numFmtId="0" formatCode="General"/>
      <alignment horizontal="center" vertical="center" textRotation="0" wrapText="0" indent="0" justifyLastLine="0" shrinkToFit="0" readingOrder="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fill>
        <patternFill patternType="none">
          <fgColor indexed="64"/>
          <bgColor indexed="65"/>
        </patternFill>
      </fill>
      <protection locked="1" hidden="0"/>
    </dxf>
    <dxf>
      <protection locked="1" hidden="0"/>
    </dxf>
    <dxf>
      <protection locked="1" hidden="0"/>
    </dxf>
    <dxf>
      <protection locked="1" hidden="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protection locked="1" hidden="0"/>
    </dxf>
    <dxf>
      <fill>
        <patternFill patternType="solid">
          <fgColor indexed="64"/>
          <bgColor theme="2"/>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protection locked="1" hidden="0"/>
    </dxf>
    <dxf>
      <protection locked="1" hidden="0"/>
    </dxf>
    <dxf>
      <protection locked="1" hidden="0"/>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PivotStyle="PivotStyleLight16">
    <tableStyle name="Werknemers Verzuimtabel" pivot="0" count="13" xr9:uid="{00000000-0011-0000-FFFF-FFFF00000000}">
      <tableStyleElement type="wholeTable" dxfId="951"/>
      <tableStyleElement type="headerRow" dxfId="950"/>
      <tableStyleElement type="totalRow" dxfId="949"/>
      <tableStyleElement type="firstColumn" dxfId="948"/>
      <tableStyleElement type="lastColumn" dxfId="947"/>
      <tableStyleElement type="firstRowStripe" dxfId="946"/>
      <tableStyleElement type="secondRowStripe" dxfId="945"/>
      <tableStyleElement type="firstColumnStripe" dxfId="944"/>
      <tableStyleElement type="secondColumnStripe" dxfId="943"/>
      <tableStyleElement type="firstHeaderCell" dxfId="942"/>
      <tableStyleElement type="lastHeaderCell" dxfId="941"/>
      <tableStyleElement type="firstTotalCell" dxfId="940"/>
      <tableStyleElement type="lastTotalCell" dxfId="9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i" displayName="Januari" ref="B6:AL11" totalsRowCount="1" headerRowDxfId="938" dataDxfId="937" totalsRowDxfId="936">
  <autoFilter ref="B6:AL1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sortState xmlns:xlrd2="http://schemas.microsoft.com/office/spreadsheetml/2017/richdata2" ref="B7:AL10">
    <sortCondition ref="B7:B10"/>
  </sortState>
  <tableColumns count="37">
    <tableColumn id="1" xr3:uid="{00000000-0010-0000-0000-000001000000}" name="Naam werknemer" dataCellStyle="Werknemer"/>
    <tableColumn id="35" xr3:uid="{18FA012E-DC17-49D7-BEDE-10043B49627C}" name="Begin Km maand" dataDxfId="935" totalsRowDxfId="934"/>
    <tableColumn id="36" xr3:uid="{13DED2BD-CF3C-4CC5-81F4-DC63D1A9989D}" name="Eind Km maand" dataDxfId="933" totalsRowDxfId="932"/>
    <tableColumn id="39" xr3:uid="{B1B4AD2D-6C4B-474F-A038-48C4D12A89B5}" name="Nummerplaat" dataDxfId="931" totalsRowDxfId="930"/>
    <tableColumn id="2" xr3:uid="{00000000-0010-0000-0000-000002000000}" name="1" dataDxfId="929" totalsRowDxfId="928"/>
    <tableColumn id="3" xr3:uid="{00000000-0010-0000-0000-000003000000}" name="2" dataDxfId="927" totalsRowDxfId="926"/>
    <tableColumn id="4" xr3:uid="{00000000-0010-0000-0000-000004000000}" name="3" dataDxfId="925" totalsRowDxfId="924"/>
    <tableColumn id="5" xr3:uid="{00000000-0010-0000-0000-000005000000}" name="4" dataDxfId="923" totalsRowDxfId="922"/>
    <tableColumn id="6" xr3:uid="{00000000-0010-0000-0000-000006000000}" name="5" dataDxfId="921" totalsRowDxfId="920"/>
    <tableColumn id="7" xr3:uid="{00000000-0010-0000-0000-000007000000}" name="6" dataDxfId="919" totalsRowDxfId="918"/>
    <tableColumn id="8" xr3:uid="{00000000-0010-0000-0000-000008000000}" name="7" dataDxfId="917" totalsRowDxfId="916"/>
    <tableColumn id="9" xr3:uid="{00000000-0010-0000-0000-000009000000}" name="8" dataDxfId="915" totalsRowDxfId="914"/>
    <tableColumn id="10" xr3:uid="{00000000-0010-0000-0000-00000A000000}" name="9" dataDxfId="913" totalsRowDxfId="912"/>
    <tableColumn id="11" xr3:uid="{00000000-0010-0000-0000-00000B000000}" name="10" dataDxfId="911" totalsRowDxfId="910"/>
    <tableColumn id="12" xr3:uid="{00000000-0010-0000-0000-00000C000000}" name="11" dataDxfId="909" totalsRowDxfId="908"/>
    <tableColumn id="13" xr3:uid="{00000000-0010-0000-0000-00000D000000}" name="12" dataDxfId="907" totalsRowDxfId="906"/>
    <tableColumn id="14" xr3:uid="{00000000-0010-0000-0000-00000E000000}" name="13" dataDxfId="905" totalsRowDxfId="904"/>
    <tableColumn id="15" xr3:uid="{00000000-0010-0000-0000-00000F000000}" name="14" dataDxfId="903" totalsRowDxfId="902"/>
    <tableColumn id="16" xr3:uid="{00000000-0010-0000-0000-000010000000}" name="15" dataDxfId="901" totalsRowDxfId="900"/>
    <tableColumn id="17" xr3:uid="{00000000-0010-0000-0000-000011000000}" name="16" dataDxfId="899" totalsRowDxfId="898"/>
    <tableColumn id="18" xr3:uid="{00000000-0010-0000-0000-000012000000}" name="17" dataDxfId="897" totalsRowDxfId="896"/>
    <tableColumn id="19" xr3:uid="{00000000-0010-0000-0000-000013000000}" name="18" dataDxfId="895" totalsRowDxfId="894"/>
    <tableColumn id="20" xr3:uid="{00000000-0010-0000-0000-000014000000}" name="19" dataDxfId="893" totalsRowDxfId="892"/>
    <tableColumn id="21" xr3:uid="{00000000-0010-0000-0000-000015000000}" name="20" dataDxfId="891" totalsRowDxfId="890"/>
    <tableColumn id="22" xr3:uid="{00000000-0010-0000-0000-000016000000}" name="21" dataDxfId="889" totalsRowDxfId="888"/>
    <tableColumn id="23" xr3:uid="{00000000-0010-0000-0000-000017000000}" name="22" dataDxfId="887" totalsRowDxfId="886"/>
    <tableColumn id="24" xr3:uid="{00000000-0010-0000-0000-000018000000}" name="23" dataDxfId="885" totalsRowDxfId="884"/>
    <tableColumn id="25" xr3:uid="{00000000-0010-0000-0000-000019000000}" name="24" dataDxfId="883" totalsRowDxfId="882"/>
    <tableColumn id="26" xr3:uid="{00000000-0010-0000-0000-00001A000000}" name="25" dataDxfId="881" totalsRowDxfId="880"/>
    <tableColumn id="27" xr3:uid="{00000000-0010-0000-0000-00001B000000}" name="26" dataDxfId="879" totalsRowDxfId="878"/>
    <tableColumn id="28" xr3:uid="{00000000-0010-0000-0000-00001C000000}" name="27" dataDxfId="877" totalsRowDxfId="876"/>
    <tableColumn id="29" xr3:uid="{00000000-0010-0000-0000-00001D000000}" name="28" dataDxfId="875" totalsRowDxfId="874"/>
    <tableColumn id="30" xr3:uid="{00000000-0010-0000-0000-00001E000000}" name="29" dataDxfId="873" totalsRowDxfId="872"/>
    <tableColumn id="31" xr3:uid="{00000000-0010-0000-0000-00001F000000}" name="30" dataDxfId="871" totalsRowDxfId="870"/>
    <tableColumn id="32" xr3:uid="{00000000-0010-0000-0000-000020000000}" name="31" dataDxfId="869" totalsRowDxfId="868"/>
    <tableColumn id="33" xr3:uid="{00000000-0010-0000-0000-000021000000}" name="Totaal aantal km" totalsRowLabel="Totaal" dataDxfId="867" totalsRowDxfId="866" dataCellStyle="Totaal"/>
    <tableColumn id="34" xr3:uid="{90472154-5D3E-42F4-9CA2-36EDA122E591}" name="Totaal kost p/m" totalsRowFunction="custom" dataDxfId="865" totalsRowDxfId="864">
      <calculatedColumnFormula>Januari[[#This Row],[Totaal aantal km]]*0.4</calculatedColumnFormula>
      <totalsRowFormula>SUM(AL7:AL10)</totalsRow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i" displayName="Februari" ref="A6:AJ11" headerRowDxfId="863" dataDxfId="862" totalsRowDxfId="861">
  <sortState xmlns:xlrd2="http://schemas.microsoft.com/office/spreadsheetml/2017/richdata2" ref="A7:AJ11">
    <sortCondition ref="A7:A11"/>
  </sortState>
  <tableColumns count="36">
    <tableColumn id="1" xr3:uid="{00000000-0010-0000-0100-000001000000}" name="Naam van werknemer" totalsRowFunction="custom" dataDxfId="860" totalsRowDxfId="859" dataCellStyle="Werknemer">
      <totalsRowFormula>MonthName&amp;" Totaal"</totalsRowFormula>
    </tableColumn>
    <tableColumn id="36" xr3:uid="{BDA5F8F5-0991-41A2-9492-11C7CAB648B3}" name="Begin Km maand" dataDxfId="858"/>
    <tableColumn id="35" xr3:uid="{EAE51D2D-C9D0-4807-9A04-83F102280272}" name="Eind Km maand" dataDxfId="857"/>
    <tableColumn id="37" xr3:uid="{94D30377-DD5A-4DFC-A6CA-2935C4A01132}" name="Nummerplaat" dataDxfId="856"/>
    <tableColumn id="2" xr3:uid="{00000000-0010-0000-0100-000002000000}" name="1" totalsRowFunction="count" dataDxfId="855" totalsRowDxfId="854"/>
    <tableColumn id="3" xr3:uid="{00000000-0010-0000-0100-000003000000}" name="2" totalsRowFunction="count" dataDxfId="853" totalsRowDxfId="852"/>
    <tableColumn id="4" xr3:uid="{00000000-0010-0000-0100-000004000000}" name="3" totalsRowFunction="count" dataDxfId="851" totalsRowDxfId="850"/>
    <tableColumn id="5" xr3:uid="{00000000-0010-0000-0100-000005000000}" name="4" totalsRowFunction="count" dataDxfId="849" totalsRowDxfId="848"/>
    <tableColumn id="6" xr3:uid="{00000000-0010-0000-0100-000006000000}" name="5" totalsRowFunction="count" dataDxfId="847" totalsRowDxfId="846"/>
    <tableColumn id="7" xr3:uid="{00000000-0010-0000-0100-000007000000}" name="6" totalsRowFunction="count" dataDxfId="845" totalsRowDxfId="844"/>
    <tableColumn id="8" xr3:uid="{00000000-0010-0000-0100-000008000000}" name="7" totalsRowFunction="count" dataDxfId="843" totalsRowDxfId="842"/>
    <tableColumn id="9" xr3:uid="{00000000-0010-0000-0100-000009000000}" name="8" totalsRowFunction="count" dataDxfId="841" totalsRowDxfId="840"/>
    <tableColumn id="10" xr3:uid="{00000000-0010-0000-0100-00000A000000}" name="9" totalsRowFunction="count" dataDxfId="839" totalsRowDxfId="838"/>
    <tableColumn id="11" xr3:uid="{00000000-0010-0000-0100-00000B000000}" name="10" totalsRowFunction="count" dataDxfId="837" totalsRowDxfId="836"/>
    <tableColumn id="12" xr3:uid="{00000000-0010-0000-0100-00000C000000}" name="11" totalsRowFunction="count" dataDxfId="835" totalsRowDxfId="834"/>
    <tableColumn id="13" xr3:uid="{00000000-0010-0000-0100-00000D000000}" name="12" totalsRowFunction="count" dataDxfId="833" totalsRowDxfId="832"/>
    <tableColumn id="14" xr3:uid="{00000000-0010-0000-0100-00000E000000}" name="13" totalsRowFunction="count" dataDxfId="831" totalsRowDxfId="830"/>
    <tableColumn id="15" xr3:uid="{00000000-0010-0000-0100-00000F000000}" name="14" totalsRowFunction="count" dataDxfId="829" totalsRowDxfId="828"/>
    <tableColumn id="16" xr3:uid="{00000000-0010-0000-0100-000010000000}" name="15" totalsRowFunction="count" dataDxfId="827" totalsRowDxfId="826"/>
    <tableColumn id="17" xr3:uid="{00000000-0010-0000-0100-000011000000}" name="16" totalsRowFunction="count" dataDxfId="825" totalsRowDxfId="824"/>
    <tableColumn id="18" xr3:uid="{00000000-0010-0000-0100-000012000000}" name="17" totalsRowFunction="count" dataDxfId="823" totalsRowDxfId="822"/>
    <tableColumn id="19" xr3:uid="{00000000-0010-0000-0100-000013000000}" name="18" totalsRowFunction="count" dataDxfId="821" totalsRowDxfId="820"/>
    <tableColumn id="20" xr3:uid="{00000000-0010-0000-0100-000014000000}" name="19" totalsRowFunction="count" dataDxfId="819" totalsRowDxfId="818"/>
    <tableColumn id="21" xr3:uid="{00000000-0010-0000-0100-000015000000}" name="20" totalsRowFunction="count" dataDxfId="817" totalsRowDxfId="816"/>
    <tableColumn id="22" xr3:uid="{00000000-0010-0000-0100-000016000000}" name="21" totalsRowFunction="count" dataDxfId="815" totalsRowDxfId="814"/>
    <tableColumn id="23" xr3:uid="{00000000-0010-0000-0100-000017000000}" name="22" totalsRowFunction="count" dataDxfId="813" totalsRowDxfId="812"/>
    <tableColumn id="24" xr3:uid="{00000000-0010-0000-0100-000018000000}" name="23" totalsRowFunction="count" dataDxfId="811" totalsRowDxfId="810"/>
    <tableColumn id="25" xr3:uid="{00000000-0010-0000-0100-000019000000}" name="24" totalsRowFunction="count" dataDxfId="809" totalsRowDxfId="808"/>
    <tableColumn id="26" xr3:uid="{00000000-0010-0000-0100-00001A000000}" name="25" totalsRowFunction="count" dataDxfId="807" totalsRowDxfId="806"/>
    <tableColumn id="27" xr3:uid="{00000000-0010-0000-0100-00001B000000}" name="26" totalsRowFunction="count" dataDxfId="805" totalsRowDxfId="804"/>
    <tableColumn id="28" xr3:uid="{00000000-0010-0000-0100-00001C000000}" name="27" totalsRowFunction="count" dataDxfId="803" totalsRowDxfId="802"/>
    <tableColumn id="29" xr3:uid="{00000000-0010-0000-0100-00001D000000}" name="28" totalsRowFunction="count" dataDxfId="801" totalsRowDxfId="800"/>
    <tableColumn id="30" xr3:uid="{00000000-0010-0000-0100-00001E000000}" name="29" totalsRowFunction="count" dataDxfId="799" totalsRowDxfId="798"/>
    <tableColumn id="31" xr3:uid="{00000000-0010-0000-0100-00001F000000}" name=" " dataDxfId="797" totalsRowDxfId="796"/>
    <tableColumn id="32" xr3:uid="{00000000-0010-0000-0100-000020000000}" name="  " dataDxfId="795" totalsRowDxfId="794"/>
    <tableColumn id="33" xr3:uid="{00000000-0010-0000-0100-000021000000}" name="Totaal aantal km" totalsRowFunction="sum" dataDxfId="793" totalsRowDxfId="792" dataCellStyle="Totaal">
      <calculatedColumnFormula>SUM(Februari[[#This Row],[1]:[29]])</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art" displayName="Maart" ref="A5:AJ11" headerRowDxfId="791" dataDxfId="790" totalsRowDxfId="789">
  <tableColumns count="36">
    <tableColumn id="1" xr3:uid="{00000000-0010-0000-0200-000001000000}" name="Naam van werknemer" totalsRowFunction="custom" dataDxfId="788" totalsRowDxfId="787" dataCellStyle="Werknemer">
      <totalsRowFormula>MonthName&amp;" Totaal"</totalsRowFormula>
    </tableColumn>
    <tableColumn id="37" xr3:uid="{81E1AE5B-6421-4A3C-B473-7EFA38FACF50}" name="Begin Km maand" dataDxfId="786" totalsRowDxfId="785"/>
    <tableColumn id="36" xr3:uid="{82E2D12D-FABB-4251-84BB-C34315C465AF}" name="Eind Km maand" dataDxfId="784" totalsRowDxfId="783"/>
    <tableColumn id="35" xr3:uid="{05B55883-06F1-442A-BD72-5AECC3B5FEAD}" name="Nummerplaat" dataDxfId="782" totalsRowDxfId="781"/>
    <tableColumn id="2" xr3:uid="{00000000-0010-0000-0200-000002000000}" name="1" totalsRowFunction="count" dataDxfId="780" totalsRowDxfId="779"/>
    <tableColumn id="3" xr3:uid="{00000000-0010-0000-0200-000003000000}" name="2" totalsRowFunction="count" dataDxfId="778" totalsRowDxfId="777"/>
    <tableColumn id="4" xr3:uid="{00000000-0010-0000-0200-000004000000}" name="3" totalsRowFunction="count" dataDxfId="776" totalsRowDxfId="775"/>
    <tableColumn id="5" xr3:uid="{00000000-0010-0000-0200-000005000000}" name="4" totalsRowFunction="count" dataDxfId="774" totalsRowDxfId="773"/>
    <tableColumn id="6" xr3:uid="{00000000-0010-0000-0200-000006000000}" name="5" totalsRowFunction="count" dataDxfId="772" totalsRowDxfId="771"/>
    <tableColumn id="7" xr3:uid="{00000000-0010-0000-0200-000007000000}" name="6" totalsRowFunction="count" dataDxfId="770" totalsRowDxfId="769"/>
    <tableColumn id="8" xr3:uid="{00000000-0010-0000-0200-000008000000}" name="7" totalsRowFunction="count" dataDxfId="768" totalsRowDxfId="767"/>
    <tableColumn id="9" xr3:uid="{00000000-0010-0000-0200-000009000000}" name="8" totalsRowFunction="count" dataDxfId="766" totalsRowDxfId="765"/>
    <tableColumn id="10" xr3:uid="{00000000-0010-0000-0200-00000A000000}" name="9" totalsRowFunction="count" dataDxfId="764" totalsRowDxfId="763"/>
    <tableColumn id="11" xr3:uid="{00000000-0010-0000-0200-00000B000000}" name="10" totalsRowFunction="count" dataDxfId="762" totalsRowDxfId="761"/>
    <tableColumn id="12" xr3:uid="{00000000-0010-0000-0200-00000C000000}" name="11" totalsRowFunction="count" dataDxfId="760" totalsRowDxfId="759"/>
    <tableColumn id="13" xr3:uid="{00000000-0010-0000-0200-00000D000000}" name="12" totalsRowFunction="count" dataDxfId="758" totalsRowDxfId="757"/>
    <tableColumn id="14" xr3:uid="{00000000-0010-0000-0200-00000E000000}" name="13" totalsRowFunction="count" dataDxfId="756" totalsRowDxfId="755"/>
    <tableColumn id="15" xr3:uid="{00000000-0010-0000-0200-00000F000000}" name="14" totalsRowFunction="count" dataDxfId="754" totalsRowDxfId="753"/>
    <tableColumn id="16" xr3:uid="{00000000-0010-0000-0200-000010000000}" name="15" totalsRowFunction="count" dataDxfId="752" totalsRowDxfId="751"/>
    <tableColumn id="17" xr3:uid="{00000000-0010-0000-0200-000011000000}" name="16" totalsRowFunction="count" dataDxfId="750" totalsRowDxfId="749"/>
    <tableColumn id="18" xr3:uid="{00000000-0010-0000-0200-000012000000}" name="17" totalsRowFunction="count" dataDxfId="748" totalsRowDxfId="747"/>
    <tableColumn id="19" xr3:uid="{00000000-0010-0000-0200-000013000000}" name="18" totalsRowFunction="count" dataDxfId="746" totalsRowDxfId="745"/>
    <tableColumn id="20" xr3:uid="{00000000-0010-0000-0200-000014000000}" name="19" totalsRowFunction="count" dataDxfId="744" totalsRowDxfId="743"/>
    <tableColumn id="21" xr3:uid="{00000000-0010-0000-0200-000015000000}" name="20" totalsRowFunction="count" dataDxfId="742" totalsRowDxfId="741"/>
    <tableColumn id="22" xr3:uid="{00000000-0010-0000-0200-000016000000}" name="21" totalsRowFunction="count" dataDxfId="740" totalsRowDxfId="739"/>
    <tableColumn id="23" xr3:uid="{00000000-0010-0000-0200-000017000000}" name="22" totalsRowFunction="count" dataDxfId="738" totalsRowDxfId="737"/>
    <tableColumn id="24" xr3:uid="{00000000-0010-0000-0200-000018000000}" name="23" totalsRowFunction="count" dataDxfId="736" totalsRowDxfId="735"/>
    <tableColumn id="25" xr3:uid="{00000000-0010-0000-0200-000019000000}" name="24" totalsRowFunction="count" dataDxfId="734" totalsRowDxfId="733"/>
    <tableColumn id="26" xr3:uid="{00000000-0010-0000-0200-00001A000000}" name="25" totalsRowFunction="count" dataDxfId="732" totalsRowDxfId="731"/>
    <tableColumn id="27" xr3:uid="{00000000-0010-0000-0200-00001B000000}" name="26" totalsRowFunction="count" dataDxfId="730" totalsRowDxfId="729"/>
    <tableColumn id="28" xr3:uid="{00000000-0010-0000-0200-00001C000000}" name="27" totalsRowFunction="count" dataDxfId="728" totalsRowDxfId="727"/>
    <tableColumn id="29" xr3:uid="{00000000-0010-0000-0200-00001D000000}" name="28" totalsRowFunction="count" dataDxfId="726" totalsRowDxfId="725"/>
    <tableColumn id="30" xr3:uid="{00000000-0010-0000-0200-00001E000000}" name="29" totalsRowFunction="count" dataDxfId="724" totalsRowDxfId="723"/>
    <tableColumn id="31" xr3:uid="{00000000-0010-0000-0200-00001F000000}" name="30" totalsRowFunction="count" dataDxfId="722" totalsRowDxfId="721"/>
    <tableColumn id="32" xr3:uid="{00000000-0010-0000-0200-000020000000}" name="31" totalsRowFunction="count" dataDxfId="720" totalsRowDxfId="719"/>
    <tableColumn id="33" xr3:uid="{00000000-0010-0000-0200-000021000000}" name="Totaal aantal km" totalsRowFunction="sum" dataDxfId="718" totalsRowDxfId="717" dataCellStyle="Totaal">
      <calculatedColumnFormula>SUM(Maart[[#This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A5:AI11" headerRowDxfId="716" dataDxfId="715" totalsRowDxfId="714">
  <sortState xmlns:xlrd2="http://schemas.microsoft.com/office/spreadsheetml/2017/richdata2" ref="A6:AI11">
    <sortCondition ref="A6:A11"/>
  </sortState>
  <tableColumns count="35">
    <tableColumn id="1" xr3:uid="{00000000-0010-0000-0300-000001000000}" name="Naam van werknemer" totalsRowFunction="custom" dataDxfId="713" totalsRowDxfId="712" dataCellStyle="Werknemer">
      <totalsRowFormula>MonthName&amp;" Totaal"</totalsRowFormula>
    </tableColumn>
    <tableColumn id="34" xr3:uid="{12626692-CF98-4996-A08C-742A9CB91E17}" name="Begin Km maand" dataDxfId="711" totalsRowDxfId="710"/>
    <tableColumn id="37" xr3:uid="{B0032890-667C-4418-940F-1A825884707D}" name="Eind Km maand" dataDxfId="709" totalsRowDxfId="708"/>
    <tableColumn id="36" xr3:uid="{4905827C-A473-428A-B876-CBA1A33478D9}" name="Nummerplaat" dataDxfId="707"/>
    <tableColumn id="2" xr3:uid="{00000000-0010-0000-0300-000002000000}" name="1" totalsRowFunction="count" dataDxfId="706" totalsRowDxfId="705"/>
    <tableColumn id="3" xr3:uid="{00000000-0010-0000-0300-000003000000}" name="Kolom1" totalsRowFunction="count" dataDxfId="704" totalsRowDxfId="703"/>
    <tableColumn id="4" xr3:uid="{00000000-0010-0000-0300-000004000000}" name="2" totalsRowFunction="count" dataDxfId="702" totalsRowDxfId="701"/>
    <tableColumn id="5" xr3:uid="{00000000-0010-0000-0300-000005000000}" name="3" totalsRowFunction="count" dataDxfId="700" totalsRowDxfId="699"/>
    <tableColumn id="6" xr3:uid="{00000000-0010-0000-0300-000006000000}" name="4" totalsRowFunction="count" dataDxfId="698" totalsRowDxfId="697"/>
    <tableColumn id="7" xr3:uid="{00000000-0010-0000-0300-000007000000}" name="5" totalsRowFunction="count" dataDxfId="696" totalsRowDxfId="695"/>
    <tableColumn id="8" xr3:uid="{00000000-0010-0000-0300-000008000000}" name="6" totalsRowFunction="count" dataDxfId="694" totalsRowDxfId="693"/>
    <tableColumn id="9" xr3:uid="{00000000-0010-0000-0300-000009000000}" name="7" totalsRowFunction="count" dataDxfId="692" totalsRowDxfId="691"/>
    <tableColumn id="10" xr3:uid="{00000000-0010-0000-0300-00000A000000}" name="8" totalsRowFunction="count" dataDxfId="690" totalsRowDxfId="689"/>
    <tableColumn id="11" xr3:uid="{00000000-0010-0000-0300-00000B000000}" name="9" totalsRowFunction="count" dataDxfId="688" totalsRowDxfId="687"/>
    <tableColumn id="12" xr3:uid="{00000000-0010-0000-0300-00000C000000}" name="10" totalsRowFunction="count" dataDxfId="686" totalsRowDxfId="685"/>
    <tableColumn id="13" xr3:uid="{00000000-0010-0000-0300-00000D000000}" name="11" totalsRowFunction="count" dataDxfId="684" totalsRowDxfId="683"/>
    <tableColumn id="14" xr3:uid="{00000000-0010-0000-0300-00000E000000}" name="12" totalsRowFunction="count" dataDxfId="682" totalsRowDxfId="681"/>
    <tableColumn id="15" xr3:uid="{00000000-0010-0000-0300-00000F000000}" name="13" totalsRowFunction="count" dataDxfId="680" totalsRowDxfId="679"/>
    <tableColumn id="16" xr3:uid="{00000000-0010-0000-0300-000010000000}" name="14" totalsRowFunction="count" dataDxfId="678" totalsRowDxfId="677"/>
    <tableColumn id="17" xr3:uid="{00000000-0010-0000-0300-000011000000}" name="15" totalsRowFunction="count" dataDxfId="676" totalsRowDxfId="675"/>
    <tableColumn id="18" xr3:uid="{00000000-0010-0000-0300-000012000000}" name="16" totalsRowFunction="count" dataDxfId="674" totalsRowDxfId="673"/>
    <tableColumn id="19" xr3:uid="{00000000-0010-0000-0300-000013000000}" name="17" totalsRowFunction="count" dataDxfId="672" totalsRowDxfId="671"/>
    <tableColumn id="20" xr3:uid="{00000000-0010-0000-0300-000014000000}" name="18" totalsRowFunction="count" dataDxfId="670" totalsRowDxfId="669"/>
    <tableColumn id="21" xr3:uid="{00000000-0010-0000-0300-000015000000}" name="19" totalsRowFunction="count" dataDxfId="668" totalsRowDxfId="667"/>
    <tableColumn id="22" xr3:uid="{00000000-0010-0000-0300-000016000000}" name="20" totalsRowFunction="count" dataDxfId="666" totalsRowDxfId="665"/>
    <tableColumn id="23" xr3:uid="{00000000-0010-0000-0300-000017000000}" name="21" totalsRowFunction="count" dataDxfId="664" totalsRowDxfId="663"/>
    <tableColumn id="24" xr3:uid="{00000000-0010-0000-0300-000018000000}" name="22" totalsRowFunction="count" dataDxfId="662" totalsRowDxfId="661"/>
    <tableColumn id="25" xr3:uid="{00000000-0010-0000-0300-000019000000}" name="23" totalsRowFunction="count" dataDxfId="660" totalsRowDxfId="659"/>
    <tableColumn id="26" xr3:uid="{00000000-0010-0000-0300-00001A000000}" name="24" totalsRowFunction="count" dataDxfId="658" totalsRowDxfId="657"/>
    <tableColumn id="27" xr3:uid="{00000000-0010-0000-0300-00001B000000}" name="25" totalsRowFunction="count" dataDxfId="656" totalsRowDxfId="655"/>
    <tableColumn id="28" xr3:uid="{00000000-0010-0000-0300-00001C000000}" name="26" totalsRowFunction="count" dataDxfId="654" totalsRowDxfId="653"/>
    <tableColumn id="29" xr3:uid="{00000000-0010-0000-0300-00001D000000}" name="27" totalsRowFunction="count" dataDxfId="652" totalsRowDxfId="651"/>
    <tableColumn id="30" xr3:uid="{00000000-0010-0000-0300-00001E000000}" name="28" totalsRowFunction="count" dataDxfId="650" totalsRowDxfId="649"/>
    <tableColumn id="31" xr3:uid="{00000000-0010-0000-0300-00001F000000}" name="29" totalsRowFunction="count" dataDxfId="648" totalsRowDxfId="647"/>
    <tableColumn id="33" xr3:uid="{00000000-0010-0000-0300-000021000000}" name="Totaal aantal km" totalsRowFunction="sum" dataDxfId="646" totalsRowDxfId="645" dataCellStyle="Totaal">
      <calculatedColumnFormula>SUM(April[[#This Row],[1]:[29]])</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Mei" displayName="Mei" ref="A5:AJ11" headerRowDxfId="644" dataDxfId="643" totalsRowDxfId="642">
  <sortState xmlns:xlrd2="http://schemas.microsoft.com/office/spreadsheetml/2017/richdata2" ref="A6:AJ11">
    <sortCondition ref="A6:A11"/>
  </sortState>
  <tableColumns count="36">
    <tableColumn id="1" xr3:uid="{00000000-0010-0000-0400-000001000000}" name="Naam van werknemer" totalsRowFunction="custom" dataDxfId="641" totalsRowDxfId="640" dataCellStyle="Werknemer">
      <totalsRowFormula>MonthName&amp;" Totaal"</totalsRowFormula>
    </tableColumn>
    <tableColumn id="35" xr3:uid="{F3A0BE1E-07D4-422C-837E-E44638878798}" name="Begin Km maand" dataDxfId="639" totalsRowDxfId="638"/>
    <tableColumn id="36" xr3:uid="{0DE62A80-8240-40DF-9777-FC6C6D4A2BDB}" name="Eind Km maand" dataDxfId="637" totalsRowDxfId="636"/>
    <tableColumn id="37" xr3:uid="{FE94FA1A-6596-4CF0-8227-47CD15946F24}" name="Nummerplaat" dataDxfId="635"/>
    <tableColumn id="2" xr3:uid="{00000000-0010-0000-0400-000002000000}" name="1" totalsRowFunction="count" dataDxfId="634" totalsRowDxfId="633"/>
    <tableColumn id="3" xr3:uid="{00000000-0010-0000-0400-000003000000}" name="2" totalsRowFunction="count" dataDxfId="632" totalsRowDxfId="631"/>
    <tableColumn id="4" xr3:uid="{00000000-0010-0000-0400-000004000000}" name="3" totalsRowFunction="count" dataDxfId="630" totalsRowDxfId="629"/>
    <tableColumn id="5" xr3:uid="{00000000-0010-0000-0400-000005000000}" name="4" totalsRowFunction="count" dataDxfId="628" totalsRowDxfId="627"/>
    <tableColumn id="6" xr3:uid="{00000000-0010-0000-0400-000006000000}" name="5" totalsRowFunction="count" dataDxfId="626" totalsRowDxfId="625"/>
    <tableColumn id="7" xr3:uid="{00000000-0010-0000-0400-000007000000}" name="6" totalsRowFunction="count" dataDxfId="624" totalsRowDxfId="623"/>
    <tableColumn id="8" xr3:uid="{00000000-0010-0000-0400-000008000000}" name="7" totalsRowFunction="count" dataDxfId="622" totalsRowDxfId="621"/>
    <tableColumn id="9" xr3:uid="{00000000-0010-0000-0400-000009000000}" name="8" totalsRowFunction="count" dataDxfId="620" totalsRowDxfId="619"/>
    <tableColumn id="10" xr3:uid="{00000000-0010-0000-0400-00000A000000}" name="9" totalsRowFunction="count" dataDxfId="618" totalsRowDxfId="617"/>
    <tableColumn id="11" xr3:uid="{00000000-0010-0000-0400-00000B000000}" name="10" totalsRowFunction="count" dataDxfId="616" totalsRowDxfId="615"/>
    <tableColumn id="12" xr3:uid="{00000000-0010-0000-0400-00000C000000}" name="11" totalsRowFunction="count" dataDxfId="614" totalsRowDxfId="613"/>
    <tableColumn id="13" xr3:uid="{00000000-0010-0000-0400-00000D000000}" name="12" totalsRowFunction="count" dataDxfId="612" totalsRowDxfId="611"/>
    <tableColumn id="14" xr3:uid="{00000000-0010-0000-0400-00000E000000}" name="13" totalsRowFunction="count" dataDxfId="610" totalsRowDxfId="609"/>
    <tableColumn id="15" xr3:uid="{00000000-0010-0000-0400-00000F000000}" name="14" totalsRowFunction="count" dataDxfId="608" totalsRowDxfId="607"/>
    <tableColumn id="16" xr3:uid="{00000000-0010-0000-0400-000010000000}" name="15" totalsRowFunction="count" dataDxfId="606" totalsRowDxfId="605"/>
    <tableColumn id="17" xr3:uid="{00000000-0010-0000-0400-000011000000}" name="16" totalsRowFunction="count" dataDxfId="604" totalsRowDxfId="603"/>
    <tableColumn id="18" xr3:uid="{00000000-0010-0000-0400-000012000000}" name="17" totalsRowFunction="count" dataDxfId="602" totalsRowDxfId="601"/>
    <tableColumn id="19" xr3:uid="{00000000-0010-0000-0400-000013000000}" name="18" totalsRowFunction="count" dataDxfId="600" totalsRowDxfId="599"/>
    <tableColumn id="20" xr3:uid="{00000000-0010-0000-0400-000014000000}" name="19" totalsRowFunction="count" dataDxfId="598" totalsRowDxfId="597"/>
    <tableColumn id="21" xr3:uid="{00000000-0010-0000-0400-000015000000}" name="20" totalsRowFunction="count" dataDxfId="596" totalsRowDxfId="595"/>
    <tableColumn id="22" xr3:uid="{00000000-0010-0000-0400-000016000000}" name="21" totalsRowFunction="count" dataDxfId="594" totalsRowDxfId="593"/>
    <tableColumn id="23" xr3:uid="{00000000-0010-0000-0400-000017000000}" name="22" totalsRowFunction="count" dataDxfId="592" totalsRowDxfId="591"/>
    <tableColumn id="24" xr3:uid="{00000000-0010-0000-0400-000018000000}" name="23" totalsRowFunction="count" dataDxfId="590" totalsRowDxfId="589"/>
    <tableColumn id="25" xr3:uid="{00000000-0010-0000-0400-000019000000}" name="24" totalsRowFunction="count" dataDxfId="588" totalsRowDxfId="587"/>
    <tableColumn id="26" xr3:uid="{00000000-0010-0000-0400-00001A000000}" name="25" totalsRowFunction="count" dataDxfId="586" totalsRowDxfId="585"/>
    <tableColumn id="27" xr3:uid="{00000000-0010-0000-0400-00001B000000}" name="26" totalsRowFunction="count" dataDxfId="584" totalsRowDxfId="583"/>
    <tableColumn id="28" xr3:uid="{00000000-0010-0000-0400-00001C000000}" name="27" totalsRowFunction="count" dataDxfId="582" totalsRowDxfId="581"/>
    <tableColumn id="29" xr3:uid="{00000000-0010-0000-0400-00001D000000}" name="28" totalsRowFunction="count" dataDxfId="580" totalsRowDxfId="579"/>
    <tableColumn id="30" xr3:uid="{00000000-0010-0000-0400-00001E000000}" name="29" totalsRowFunction="count" dataDxfId="578" totalsRowDxfId="577"/>
    <tableColumn id="31" xr3:uid="{00000000-0010-0000-0400-00001F000000}" name="30" totalsRowFunction="count" dataDxfId="576" totalsRowDxfId="575"/>
    <tableColumn id="32" xr3:uid="{00000000-0010-0000-0400-000020000000}" name="31" totalsRowFunction="count" dataDxfId="574" totalsRowDxfId="573"/>
    <tableColumn id="33" xr3:uid="{00000000-0010-0000-0400-000021000000}" name="Totaal aantal km" totalsRowFunction="sum" dataDxfId="572" totalsRowDxfId="571" dataCellStyle="Totaal">
      <calculatedColumnFormula>SUM(Mei[[#This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i" displayName="Juni" ref="A5:AI11" headerRowDxfId="570" dataDxfId="569" totalsRowDxfId="568">
  <sortState xmlns:xlrd2="http://schemas.microsoft.com/office/spreadsheetml/2017/richdata2" ref="A6:AI11">
    <sortCondition ref="A6:A11"/>
  </sortState>
  <tableColumns count="35">
    <tableColumn id="1" xr3:uid="{00000000-0010-0000-0500-000001000000}" name="Naam van werknemer" totalsRowFunction="custom" dataDxfId="567" totalsRowDxfId="566" dataCellStyle="Werknemer">
      <totalsRowFormula>MonthName&amp;" Totaal"</totalsRowFormula>
    </tableColumn>
    <tableColumn id="34" xr3:uid="{9BD4BF29-2455-45EE-A6C1-483E9EF5FD33}" name="Begin Km maand" dataDxfId="565" totalsRowDxfId="564"/>
    <tableColumn id="36" xr3:uid="{6D4843E5-44B4-40D2-86AC-6D2A0ACE0BBE}" name="Eind Km maand" dataDxfId="563" totalsRowDxfId="562"/>
    <tableColumn id="37" xr3:uid="{09570927-6A3D-4703-BF83-1B4628995456}" name="Nummerplaat" dataDxfId="561" totalsRowDxfId="560"/>
    <tableColumn id="2" xr3:uid="{00000000-0010-0000-0500-000002000000}" name="1" totalsRowFunction="count" dataDxfId="559" totalsRowDxfId="558"/>
    <tableColumn id="3" xr3:uid="{00000000-0010-0000-0500-000003000000}" name="2" totalsRowFunction="count" dataDxfId="557" totalsRowDxfId="556"/>
    <tableColumn id="4" xr3:uid="{00000000-0010-0000-0500-000004000000}" name="3" totalsRowFunction="count" dataDxfId="555" totalsRowDxfId="554"/>
    <tableColumn id="5" xr3:uid="{00000000-0010-0000-0500-000005000000}" name="4" totalsRowFunction="count" dataDxfId="553" totalsRowDxfId="552"/>
    <tableColumn id="6" xr3:uid="{00000000-0010-0000-0500-000006000000}" name="5" totalsRowFunction="count" dataDxfId="551" totalsRowDxfId="550"/>
    <tableColumn id="7" xr3:uid="{00000000-0010-0000-0500-000007000000}" name="6" totalsRowFunction="count" dataDxfId="549" totalsRowDxfId="548"/>
    <tableColumn id="8" xr3:uid="{00000000-0010-0000-0500-000008000000}" name="7" totalsRowFunction="count" dataDxfId="547" totalsRowDxfId="546"/>
    <tableColumn id="9" xr3:uid="{00000000-0010-0000-0500-000009000000}" name="8" totalsRowFunction="count" dataDxfId="545" totalsRowDxfId="544"/>
    <tableColumn id="10" xr3:uid="{00000000-0010-0000-0500-00000A000000}" name="9" totalsRowFunction="count" dataDxfId="543" totalsRowDxfId="542"/>
    <tableColumn id="11" xr3:uid="{00000000-0010-0000-0500-00000B000000}" name="10" totalsRowFunction="count" dataDxfId="541" totalsRowDxfId="540"/>
    <tableColumn id="12" xr3:uid="{00000000-0010-0000-0500-00000C000000}" name="11" totalsRowFunction="count" dataDxfId="539" totalsRowDxfId="538"/>
    <tableColumn id="13" xr3:uid="{00000000-0010-0000-0500-00000D000000}" name="12" totalsRowFunction="count" dataDxfId="537" totalsRowDxfId="536"/>
    <tableColumn id="14" xr3:uid="{00000000-0010-0000-0500-00000E000000}" name="13" totalsRowFunction="count" dataDxfId="535" totalsRowDxfId="534"/>
    <tableColumn id="15" xr3:uid="{00000000-0010-0000-0500-00000F000000}" name="14" totalsRowFunction="count" dataDxfId="533" totalsRowDxfId="532"/>
    <tableColumn id="16" xr3:uid="{00000000-0010-0000-0500-000010000000}" name="15" totalsRowFunction="count" dataDxfId="531" totalsRowDxfId="530"/>
    <tableColumn id="17" xr3:uid="{00000000-0010-0000-0500-000011000000}" name="16" totalsRowFunction="count" dataDxfId="529" totalsRowDxfId="528"/>
    <tableColumn id="18" xr3:uid="{00000000-0010-0000-0500-000012000000}" name="17" totalsRowFunction="count" dataDxfId="527" totalsRowDxfId="526"/>
    <tableColumn id="19" xr3:uid="{00000000-0010-0000-0500-000013000000}" name="18" totalsRowFunction="count" dataDxfId="525" totalsRowDxfId="524"/>
    <tableColumn id="20" xr3:uid="{00000000-0010-0000-0500-000014000000}" name="19" totalsRowFunction="count" dataDxfId="523" totalsRowDxfId="522"/>
    <tableColumn id="21" xr3:uid="{00000000-0010-0000-0500-000015000000}" name="20" totalsRowFunction="count" dataDxfId="521" totalsRowDxfId="520"/>
    <tableColumn id="22" xr3:uid="{00000000-0010-0000-0500-000016000000}" name="21" totalsRowFunction="count" dataDxfId="519" totalsRowDxfId="518"/>
    <tableColumn id="23" xr3:uid="{00000000-0010-0000-0500-000017000000}" name="22" totalsRowFunction="count" dataDxfId="517" totalsRowDxfId="516"/>
    <tableColumn id="24" xr3:uid="{00000000-0010-0000-0500-000018000000}" name="23" totalsRowFunction="count" dataDxfId="515" totalsRowDxfId="514"/>
    <tableColumn id="25" xr3:uid="{00000000-0010-0000-0500-000019000000}" name="24" totalsRowFunction="count" dataDxfId="513" totalsRowDxfId="512"/>
    <tableColumn id="26" xr3:uid="{00000000-0010-0000-0500-00001A000000}" name="25" totalsRowFunction="count" dataDxfId="511" totalsRowDxfId="510"/>
    <tableColumn id="27" xr3:uid="{00000000-0010-0000-0500-00001B000000}" name="26" totalsRowFunction="count" dataDxfId="509" totalsRowDxfId="508"/>
    <tableColumn id="28" xr3:uid="{00000000-0010-0000-0500-00001C000000}" name="27" totalsRowFunction="count" dataDxfId="507" totalsRowDxfId="506"/>
    <tableColumn id="29" xr3:uid="{00000000-0010-0000-0500-00001D000000}" name="28" totalsRowFunction="count" dataDxfId="505" totalsRowDxfId="504"/>
    <tableColumn id="30" xr3:uid="{00000000-0010-0000-0500-00001E000000}" name="29" totalsRowFunction="count" dataDxfId="503" totalsRowDxfId="502"/>
    <tableColumn id="31" xr3:uid="{00000000-0010-0000-0500-00001F000000}" name="30" totalsRowFunction="count" dataDxfId="501" totalsRowDxfId="500"/>
    <tableColumn id="33" xr3:uid="{00000000-0010-0000-0500-000021000000}" name="Totaal aantal km" totalsRowFunction="sum" dataDxfId="499" totalsRowDxfId="498" dataCellStyle="Totaal">
      <calculatedColumnFormula>SUM(Juni[[#This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i" displayName="Juli" ref="A5:AJ9" headerRowDxfId="497" dataDxfId="496" totalsRowDxfId="495">
  <sortState xmlns:xlrd2="http://schemas.microsoft.com/office/spreadsheetml/2017/richdata2" ref="A6:AJ9">
    <sortCondition ref="A6:A9"/>
  </sortState>
  <tableColumns count="36">
    <tableColumn id="1" xr3:uid="{00000000-0010-0000-0600-000001000000}" name="Naam van werknemer" totalsRowFunction="custom" dataDxfId="494" totalsRowDxfId="493" dataCellStyle="Werknemer">
      <totalsRowFormula>MonthName&amp;" Totaal"</totalsRowFormula>
    </tableColumn>
    <tableColumn id="34" xr3:uid="{9A5D7F06-7A59-42DD-8C8D-21FAAD199883}" name="Begin Km maand" dataDxfId="492" totalsRowDxfId="491"/>
    <tableColumn id="36" xr3:uid="{E8B5D7D2-E576-40F9-9AC8-6263CD9C4CB4}" name="Eind Km maand" dataDxfId="490" totalsRowDxfId="489"/>
    <tableColumn id="37" xr3:uid="{F2F52ADF-1754-41ED-8874-E4E4471E02CA}" name="Nummerplaat" dataDxfId="488" totalsRowDxfId="487"/>
    <tableColumn id="2" xr3:uid="{00000000-0010-0000-0600-000002000000}" name="1" totalsRowFunction="count" dataDxfId="486" totalsRowDxfId="485"/>
    <tableColumn id="3" xr3:uid="{00000000-0010-0000-0600-000003000000}" name="2" totalsRowFunction="count" dataDxfId="484" totalsRowDxfId="483"/>
    <tableColumn id="4" xr3:uid="{00000000-0010-0000-0600-000004000000}" name="3" totalsRowFunction="count" dataDxfId="482" totalsRowDxfId="481"/>
    <tableColumn id="5" xr3:uid="{00000000-0010-0000-0600-000005000000}" name="4" totalsRowFunction="count" dataDxfId="480" totalsRowDxfId="479"/>
    <tableColumn id="6" xr3:uid="{00000000-0010-0000-0600-000006000000}" name="5" totalsRowFunction="count" dataDxfId="478" totalsRowDxfId="477"/>
    <tableColumn id="7" xr3:uid="{00000000-0010-0000-0600-000007000000}" name="6" totalsRowFunction="count" dataDxfId="476" totalsRowDxfId="475"/>
    <tableColumn id="8" xr3:uid="{00000000-0010-0000-0600-000008000000}" name="7" totalsRowFunction="count" dataDxfId="474" totalsRowDxfId="473"/>
    <tableColumn id="9" xr3:uid="{00000000-0010-0000-0600-000009000000}" name="8" totalsRowFunction="count" dataDxfId="472" totalsRowDxfId="471"/>
    <tableColumn id="10" xr3:uid="{00000000-0010-0000-0600-00000A000000}" name="9" totalsRowFunction="count" dataDxfId="470" totalsRowDxfId="469"/>
    <tableColumn id="11" xr3:uid="{00000000-0010-0000-0600-00000B000000}" name="10" totalsRowFunction="count" dataDxfId="468" totalsRowDxfId="467"/>
    <tableColumn id="12" xr3:uid="{00000000-0010-0000-0600-00000C000000}" name="11" totalsRowFunction="count" dataDxfId="466" totalsRowDxfId="465"/>
    <tableColumn id="13" xr3:uid="{00000000-0010-0000-0600-00000D000000}" name="12" totalsRowFunction="count" dataDxfId="464" totalsRowDxfId="463"/>
    <tableColumn id="14" xr3:uid="{00000000-0010-0000-0600-00000E000000}" name="13" totalsRowFunction="count" dataDxfId="462" totalsRowDxfId="461"/>
    <tableColumn id="15" xr3:uid="{00000000-0010-0000-0600-00000F000000}" name="14" totalsRowFunction="count" dataDxfId="460" totalsRowDxfId="459"/>
    <tableColumn id="16" xr3:uid="{00000000-0010-0000-0600-000010000000}" name="15" totalsRowFunction="count" dataDxfId="458" totalsRowDxfId="457"/>
    <tableColumn id="17" xr3:uid="{00000000-0010-0000-0600-000011000000}" name="16" totalsRowFunction="count" dataDxfId="456" totalsRowDxfId="455"/>
    <tableColumn id="18" xr3:uid="{00000000-0010-0000-0600-000012000000}" name="17" totalsRowFunction="count" dataDxfId="454" totalsRowDxfId="453"/>
    <tableColumn id="19" xr3:uid="{00000000-0010-0000-0600-000013000000}" name="18" totalsRowFunction="count" dataDxfId="452" totalsRowDxfId="451"/>
    <tableColumn id="20" xr3:uid="{00000000-0010-0000-0600-000014000000}" name="19" totalsRowFunction="count" dataDxfId="450" totalsRowDxfId="449"/>
    <tableColumn id="21" xr3:uid="{00000000-0010-0000-0600-000015000000}" name="20" totalsRowFunction="count" dataDxfId="448" totalsRowDxfId="447"/>
    <tableColumn id="22" xr3:uid="{00000000-0010-0000-0600-000016000000}" name="21" totalsRowFunction="count" dataDxfId="446" totalsRowDxfId="445"/>
    <tableColumn id="23" xr3:uid="{00000000-0010-0000-0600-000017000000}" name="22" totalsRowFunction="count" dataDxfId="444" totalsRowDxfId="443"/>
    <tableColumn id="24" xr3:uid="{00000000-0010-0000-0600-000018000000}" name="23" totalsRowFunction="count" dataDxfId="442" totalsRowDxfId="441"/>
    <tableColumn id="25" xr3:uid="{00000000-0010-0000-0600-000019000000}" name="24" totalsRowFunction="count" dataDxfId="440" totalsRowDxfId="439"/>
    <tableColumn id="26" xr3:uid="{00000000-0010-0000-0600-00001A000000}" name="25" totalsRowFunction="count" dataDxfId="438" totalsRowDxfId="437"/>
    <tableColumn id="27" xr3:uid="{00000000-0010-0000-0600-00001B000000}" name="26" totalsRowFunction="count" dataDxfId="436" totalsRowDxfId="435"/>
    <tableColumn id="28" xr3:uid="{00000000-0010-0000-0600-00001C000000}" name="27" totalsRowFunction="count" dataDxfId="434" totalsRowDxfId="433"/>
    <tableColumn id="29" xr3:uid="{00000000-0010-0000-0600-00001D000000}" name="28" totalsRowFunction="count" dataDxfId="432" totalsRowDxfId="431"/>
    <tableColumn id="30" xr3:uid="{00000000-0010-0000-0600-00001E000000}" name="29" totalsRowFunction="count" dataDxfId="430" totalsRowDxfId="429"/>
    <tableColumn id="31" xr3:uid="{00000000-0010-0000-0600-00001F000000}" name="30" totalsRowFunction="count" dataDxfId="428" totalsRowDxfId="427"/>
    <tableColumn id="32" xr3:uid="{00000000-0010-0000-0600-000020000000}" name="31" totalsRowFunction="count" dataDxfId="426" totalsRowDxfId="425"/>
    <tableColumn id="33" xr3:uid="{00000000-0010-0000-0600-000021000000}" name="Totaal aantal km" totalsRowFunction="sum" dataDxfId="424" totalsRowDxfId="423" dataCellStyle="Totaal">
      <calculatedColumnFormula>SUM(Juli[[#This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us" displayName="Augustus" ref="A5:AJ8" headerRowDxfId="422" dataDxfId="421" totalsRowDxfId="420">
  <sortState xmlns:xlrd2="http://schemas.microsoft.com/office/spreadsheetml/2017/richdata2" ref="A6:AJ8">
    <sortCondition ref="A6:A8"/>
  </sortState>
  <tableColumns count="36">
    <tableColumn id="1" xr3:uid="{00000000-0010-0000-0700-000001000000}" name="Naam van werknemer" totalsRowFunction="custom" dataDxfId="419" totalsRowDxfId="418" dataCellStyle="Werknemer">
      <totalsRowFormula>MonthName&amp;" Totaal"</totalsRowFormula>
    </tableColumn>
    <tableColumn id="34" xr3:uid="{C63DF5F2-901F-4D81-87A0-5CE286D9041A}" name="Begin Km maand" dataDxfId="417" totalsRowDxfId="416"/>
    <tableColumn id="36" xr3:uid="{A09DA68E-6F2D-4AD7-90ED-13112A5CB5FB}" name="Eind Km maand" dataDxfId="415" totalsRowDxfId="414"/>
    <tableColumn id="37" xr3:uid="{1BF3BC26-734F-4BC9-8466-DA7C9551892C}" name="Nummerplaat" dataDxfId="413" totalsRowDxfId="412"/>
    <tableColumn id="2" xr3:uid="{00000000-0010-0000-0700-000002000000}" name="1" totalsRowFunction="count" dataDxfId="411" totalsRowDxfId="410"/>
    <tableColumn id="3" xr3:uid="{00000000-0010-0000-0700-000003000000}" name="2" totalsRowFunction="count" dataDxfId="409" totalsRowDxfId="408"/>
    <tableColumn id="4" xr3:uid="{00000000-0010-0000-0700-000004000000}" name="3" totalsRowFunction="count" dataDxfId="407" totalsRowDxfId="406"/>
    <tableColumn id="5" xr3:uid="{00000000-0010-0000-0700-000005000000}" name="4" totalsRowFunction="count" dataDxfId="405" totalsRowDxfId="404"/>
    <tableColumn id="6" xr3:uid="{00000000-0010-0000-0700-000006000000}" name="5" totalsRowFunction="count" dataDxfId="403" totalsRowDxfId="402"/>
    <tableColumn id="7" xr3:uid="{00000000-0010-0000-0700-000007000000}" name="6" totalsRowFunction="count" dataDxfId="401" totalsRowDxfId="400"/>
    <tableColumn id="8" xr3:uid="{00000000-0010-0000-0700-000008000000}" name="7" totalsRowFunction="count" dataDxfId="399" totalsRowDxfId="398"/>
    <tableColumn id="9" xr3:uid="{00000000-0010-0000-0700-000009000000}" name="8" totalsRowFunction="count" dataDxfId="397" totalsRowDxfId="396"/>
    <tableColumn id="10" xr3:uid="{00000000-0010-0000-0700-00000A000000}" name="9" totalsRowFunction="count" dataDxfId="395" totalsRowDxfId="394"/>
    <tableColumn id="11" xr3:uid="{00000000-0010-0000-0700-00000B000000}" name="10" totalsRowFunction="count" dataDxfId="393" totalsRowDxfId="392"/>
    <tableColumn id="12" xr3:uid="{00000000-0010-0000-0700-00000C000000}" name="11" totalsRowFunction="count" dataDxfId="391" totalsRowDxfId="390"/>
    <tableColumn id="13" xr3:uid="{00000000-0010-0000-0700-00000D000000}" name="12" totalsRowFunction="count" dataDxfId="389" totalsRowDxfId="388"/>
    <tableColumn id="14" xr3:uid="{00000000-0010-0000-0700-00000E000000}" name="13" totalsRowFunction="count" dataDxfId="387" totalsRowDxfId="386"/>
    <tableColumn id="15" xr3:uid="{00000000-0010-0000-0700-00000F000000}" name="14" totalsRowFunction="count" dataDxfId="385" totalsRowDxfId="384"/>
    <tableColumn id="16" xr3:uid="{00000000-0010-0000-0700-000010000000}" name="15" totalsRowFunction="count" dataDxfId="383" totalsRowDxfId="382"/>
    <tableColumn id="17" xr3:uid="{00000000-0010-0000-0700-000011000000}" name="16" totalsRowFunction="count" dataDxfId="381" totalsRowDxfId="380"/>
    <tableColumn id="18" xr3:uid="{00000000-0010-0000-0700-000012000000}" name="17" totalsRowFunction="count" dataDxfId="379" totalsRowDxfId="378"/>
    <tableColumn id="19" xr3:uid="{00000000-0010-0000-0700-000013000000}" name="18" totalsRowFunction="count" dataDxfId="377" totalsRowDxfId="376"/>
    <tableColumn id="20" xr3:uid="{00000000-0010-0000-0700-000014000000}" name="19" totalsRowFunction="count" dataDxfId="375" totalsRowDxfId="374"/>
    <tableColumn id="21" xr3:uid="{00000000-0010-0000-0700-000015000000}" name="20" totalsRowFunction="count" dataDxfId="373" totalsRowDxfId="372"/>
    <tableColumn id="22" xr3:uid="{00000000-0010-0000-0700-000016000000}" name="21" totalsRowFunction="count" dataDxfId="371" totalsRowDxfId="370"/>
    <tableColumn id="23" xr3:uid="{00000000-0010-0000-0700-000017000000}" name="22" totalsRowFunction="count" dataDxfId="369" totalsRowDxfId="368"/>
    <tableColumn id="24" xr3:uid="{00000000-0010-0000-0700-000018000000}" name="23" totalsRowFunction="count" dataDxfId="367" totalsRowDxfId="366"/>
    <tableColumn id="25" xr3:uid="{00000000-0010-0000-0700-000019000000}" name="24" totalsRowFunction="count" dataDxfId="365" totalsRowDxfId="364"/>
    <tableColumn id="26" xr3:uid="{00000000-0010-0000-0700-00001A000000}" name="25" totalsRowFunction="count" dataDxfId="363" totalsRowDxfId="362"/>
    <tableColumn id="27" xr3:uid="{00000000-0010-0000-0700-00001B000000}" name="26" totalsRowFunction="count" dataDxfId="361" totalsRowDxfId="360"/>
    <tableColumn id="28" xr3:uid="{00000000-0010-0000-0700-00001C000000}" name="27" totalsRowFunction="count" dataDxfId="359" totalsRowDxfId="358"/>
    <tableColumn id="29" xr3:uid="{00000000-0010-0000-0700-00001D000000}" name="28" totalsRowFunction="count" dataDxfId="357" totalsRowDxfId="356"/>
    <tableColumn id="30" xr3:uid="{00000000-0010-0000-0700-00001E000000}" name="29" totalsRowFunction="count" dataDxfId="355" totalsRowDxfId="354"/>
    <tableColumn id="31" xr3:uid="{00000000-0010-0000-0700-00001F000000}" name="30" totalsRowFunction="count" dataDxfId="353" totalsRowDxfId="352"/>
    <tableColumn id="32" xr3:uid="{00000000-0010-0000-0700-000020000000}" name="31" totalsRowFunction="count" dataDxfId="351" totalsRowDxfId="350"/>
    <tableColumn id="33" xr3:uid="{00000000-0010-0000-0700-000021000000}" name="Totaal aantal km" totalsRowFunction="sum" dataDxfId="349" totalsRowDxfId="348" dataCellStyle="Totaal">
      <calculatedColumnFormula>SUM(Augustus[[#This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A5:AI11" headerRowDxfId="347" dataDxfId="346" totalsRowDxfId="345">
  <sortState xmlns:xlrd2="http://schemas.microsoft.com/office/spreadsheetml/2017/richdata2" ref="A6:AI11">
    <sortCondition ref="A6:A11"/>
  </sortState>
  <tableColumns count="35">
    <tableColumn id="1" xr3:uid="{00000000-0010-0000-0800-000001000000}" name="Naam van werknemer" totalsRowFunction="custom" dataDxfId="344" totalsRowDxfId="343" dataCellStyle="Werknemer">
      <totalsRowFormula>MonthName&amp;" Totaal"</totalsRowFormula>
    </tableColumn>
    <tableColumn id="34" xr3:uid="{5D24FF42-A964-47BE-8B67-534A1C46A7BB}" name="Begin Km maand" dataDxfId="342" totalsRowDxfId="341"/>
    <tableColumn id="36" xr3:uid="{E22F6E19-1A56-4D3D-8D14-3A3007E6AA81}" name="Eind Km maand" dataDxfId="340" totalsRowDxfId="339"/>
    <tableColumn id="37" xr3:uid="{90C4FC7E-A389-4537-A08B-5F8E50C8FD86}" name="Nummerplaat" dataDxfId="338" totalsRowDxfId="337"/>
    <tableColumn id="2" xr3:uid="{00000000-0010-0000-0800-000002000000}" name="1" totalsRowFunction="count" dataDxfId="336" totalsRowDxfId="335"/>
    <tableColumn id="3" xr3:uid="{00000000-0010-0000-0800-000003000000}" name="2" totalsRowFunction="count" dataDxfId="334" totalsRowDxfId="333"/>
    <tableColumn id="4" xr3:uid="{00000000-0010-0000-0800-000004000000}" name="3" totalsRowFunction="count" dataDxfId="332" totalsRowDxfId="331"/>
    <tableColumn id="5" xr3:uid="{00000000-0010-0000-0800-000005000000}" name="4" totalsRowFunction="count" dataDxfId="330" totalsRowDxfId="329"/>
    <tableColumn id="6" xr3:uid="{00000000-0010-0000-0800-000006000000}" name="5" totalsRowFunction="count" dataDxfId="328" totalsRowDxfId="327"/>
    <tableColumn id="7" xr3:uid="{00000000-0010-0000-0800-000007000000}" name="6" totalsRowFunction="count" dataDxfId="326" totalsRowDxfId="325"/>
    <tableColumn id="8" xr3:uid="{00000000-0010-0000-0800-000008000000}" name="7" totalsRowFunction="count" dataDxfId="324" totalsRowDxfId="323"/>
    <tableColumn id="9" xr3:uid="{00000000-0010-0000-0800-000009000000}" name="8" totalsRowFunction="count" dataDxfId="322" totalsRowDxfId="321"/>
    <tableColumn id="10" xr3:uid="{00000000-0010-0000-0800-00000A000000}" name="9" totalsRowFunction="count" dataDxfId="320" totalsRowDxfId="319"/>
    <tableColumn id="11" xr3:uid="{00000000-0010-0000-0800-00000B000000}" name="10" totalsRowFunction="count" dataDxfId="318" totalsRowDxfId="317"/>
    <tableColumn id="12" xr3:uid="{00000000-0010-0000-0800-00000C000000}" name="11" totalsRowFunction="count" dataDxfId="316" totalsRowDxfId="315"/>
    <tableColumn id="13" xr3:uid="{00000000-0010-0000-0800-00000D000000}" name="12" totalsRowFunction="count" dataDxfId="314" totalsRowDxfId="313"/>
    <tableColumn id="14" xr3:uid="{00000000-0010-0000-0800-00000E000000}" name="13" totalsRowFunction="count" dataDxfId="312" totalsRowDxfId="311"/>
    <tableColumn id="15" xr3:uid="{00000000-0010-0000-0800-00000F000000}" name="14" totalsRowFunction="count" dataDxfId="310" totalsRowDxfId="309"/>
    <tableColumn id="16" xr3:uid="{00000000-0010-0000-0800-000010000000}" name="15" totalsRowFunction="count" dataDxfId="308" totalsRowDxfId="307"/>
    <tableColumn id="17" xr3:uid="{00000000-0010-0000-0800-000011000000}" name="16" totalsRowFunction="count" dataDxfId="306" totalsRowDxfId="305"/>
    <tableColumn id="18" xr3:uid="{00000000-0010-0000-0800-000012000000}" name="17" totalsRowFunction="count" dataDxfId="304" totalsRowDxfId="303"/>
    <tableColumn id="19" xr3:uid="{00000000-0010-0000-0800-000013000000}" name="18" totalsRowFunction="count" dataDxfId="302" totalsRowDxfId="301"/>
    <tableColumn id="20" xr3:uid="{00000000-0010-0000-0800-000014000000}" name="19" totalsRowFunction="count" dataDxfId="300" totalsRowDxfId="299"/>
    <tableColumn id="21" xr3:uid="{00000000-0010-0000-0800-000015000000}" name="20" totalsRowFunction="count" dataDxfId="298" totalsRowDxfId="297"/>
    <tableColumn id="22" xr3:uid="{00000000-0010-0000-0800-000016000000}" name="21" totalsRowFunction="count" dataDxfId="296" totalsRowDxfId="295"/>
    <tableColumn id="23" xr3:uid="{00000000-0010-0000-0800-000017000000}" name="22" totalsRowFunction="count" dataDxfId="294" totalsRowDxfId="293"/>
    <tableColumn id="24" xr3:uid="{00000000-0010-0000-0800-000018000000}" name="23" totalsRowFunction="count" dataDxfId="292" totalsRowDxfId="291"/>
    <tableColumn id="25" xr3:uid="{00000000-0010-0000-0800-000019000000}" name="24" totalsRowFunction="count" dataDxfId="290" totalsRowDxfId="289"/>
    <tableColumn id="26" xr3:uid="{00000000-0010-0000-0800-00001A000000}" name="25" totalsRowFunction="count" dataDxfId="288" totalsRowDxfId="287"/>
    <tableColumn id="27" xr3:uid="{00000000-0010-0000-0800-00001B000000}" name="26" totalsRowFunction="count" dataDxfId="286" totalsRowDxfId="285"/>
    <tableColumn id="28" xr3:uid="{00000000-0010-0000-0800-00001C000000}" name="27" totalsRowFunction="count" dataDxfId="284" totalsRowDxfId="283"/>
    <tableColumn id="29" xr3:uid="{00000000-0010-0000-0800-00001D000000}" name="28" totalsRowFunction="count" dataDxfId="282" totalsRowDxfId="281"/>
    <tableColumn id="30" xr3:uid="{00000000-0010-0000-0800-00001E000000}" name="29" totalsRowFunction="count" dataDxfId="280" totalsRowDxfId="279"/>
    <tableColumn id="31" xr3:uid="{00000000-0010-0000-0800-00001F000000}" name="30" totalsRowFunction="count" dataDxfId="278" totalsRowDxfId="277"/>
    <tableColumn id="33" xr3:uid="{00000000-0010-0000-0800-000021000000}" name="Totaal aantal km" totalsRowFunction="sum" dataDxfId="276" totalsRowDxfId="275" dataCellStyle="Totaal">
      <calculatedColumnFormula>SUM(September[[#This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ktober" displayName="Oktober" ref="A5:AJ12" headerRowDxfId="274" dataDxfId="273" totalsRowDxfId="272">
  <sortState xmlns:xlrd2="http://schemas.microsoft.com/office/spreadsheetml/2017/richdata2" ref="A6:AJ12">
    <sortCondition ref="A6:A12"/>
  </sortState>
  <tableColumns count="36">
    <tableColumn id="1" xr3:uid="{00000000-0010-0000-0900-000001000000}" name="Naam van werknemer" totalsRowFunction="custom" dataDxfId="271" totalsRowDxfId="270" dataCellStyle="Werknemer">
      <totalsRowFormula>MonthName&amp;" Totaal"</totalsRowFormula>
    </tableColumn>
    <tableColumn id="34" xr3:uid="{4BE6C01F-7ED5-4B95-AAA7-C78E41128D86}" name="Begin Km maand" dataDxfId="269" totalsRowDxfId="268"/>
    <tableColumn id="36" xr3:uid="{C49EBBC4-92D2-43BD-B1AE-9C5E19492D91}" name="Eind Km maand" dataDxfId="267" totalsRowDxfId="266"/>
    <tableColumn id="37" xr3:uid="{762EB83B-8F94-49A4-A020-3E1D0ECEED4B}" name="Nummerplaat" dataDxfId="265" totalsRowDxfId="264"/>
    <tableColumn id="2" xr3:uid="{00000000-0010-0000-0900-000002000000}" name="1" totalsRowFunction="count" dataDxfId="263" totalsRowDxfId="262"/>
    <tableColumn id="3" xr3:uid="{00000000-0010-0000-0900-000003000000}" name="2" totalsRowFunction="count" dataDxfId="261" totalsRowDxfId="260"/>
    <tableColumn id="4" xr3:uid="{00000000-0010-0000-0900-000004000000}" name="3" totalsRowFunction="count" dataDxfId="259" totalsRowDxfId="258"/>
    <tableColumn id="5" xr3:uid="{00000000-0010-0000-0900-000005000000}" name="4" totalsRowFunction="count" dataDxfId="257" totalsRowDxfId="256"/>
    <tableColumn id="6" xr3:uid="{00000000-0010-0000-0900-000006000000}" name="5" totalsRowFunction="count" dataDxfId="255" totalsRowDxfId="254"/>
    <tableColumn id="7" xr3:uid="{00000000-0010-0000-0900-000007000000}" name="6" totalsRowFunction="count" dataDxfId="253" totalsRowDxfId="252"/>
    <tableColumn id="8" xr3:uid="{00000000-0010-0000-0900-000008000000}" name="7" totalsRowFunction="count" dataDxfId="251" totalsRowDxfId="250"/>
    <tableColumn id="9" xr3:uid="{00000000-0010-0000-0900-000009000000}" name="8" totalsRowFunction="count" dataDxfId="249" totalsRowDxfId="248"/>
    <tableColumn id="10" xr3:uid="{00000000-0010-0000-0900-00000A000000}" name="9" totalsRowFunction="count" dataDxfId="247" totalsRowDxfId="246"/>
    <tableColumn id="11" xr3:uid="{00000000-0010-0000-0900-00000B000000}" name="10" totalsRowFunction="count" dataDxfId="245" totalsRowDxfId="244"/>
    <tableColumn id="12" xr3:uid="{00000000-0010-0000-0900-00000C000000}" name="11" totalsRowFunction="count" dataDxfId="243" totalsRowDxfId="242"/>
    <tableColumn id="13" xr3:uid="{00000000-0010-0000-0900-00000D000000}" name="12" totalsRowFunction="count" dataDxfId="241" totalsRowDxfId="240"/>
    <tableColumn id="14" xr3:uid="{00000000-0010-0000-0900-00000E000000}" name="13" totalsRowFunction="count" dataDxfId="239" totalsRowDxfId="238"/>
    <tableColumn id="15" xr3:uid="{00000000-0010-0000-0900-00000F000000}" name="14" totalsRowFunction="count" dataDxfId="237" totalsRowDxfId="236"/>
    <tableColumn id="16" xr3:uid="{00000000-0010-0000-0900-000010000000}" name="15" totalsRowFunction="count" dataDxfId="235" totalsRowDxfId="234"/>
    <tableColumn id="17" xr3:uid="{00000000-0010-0000-0900-000011000000}" name="16" totalsRowFunction="count" dataDxfId="233" totalsRowDxfId="232"/>
    <tableColumn id="18" xr3:uid="{00000000-0010-0000-0900-000012000000}" name="17" totalsRowFunction="count" dataDxfId="231" totalsRowDxfId="230"/>
    <tableColumn id="19" xr3:uid="{00000000-0010-0000-0900-000013000000}" name="18" totalsRowFunction="count" dataDxfId="229" totalsRowDxfId="228"/>
    <tableColumn id="20" xr3:uid="{00000000-0010-0000-0900-000014000000}" name="19" totalsRowFunction="count" dataDxfId="227" totalsRowDxfId="226"/>
    <tableColumn id="21" xr3:uid="{00000000-0010-0000-0900-000015000000}" name="20" totalsRowFunction="count" dataDxfId="225" totalsRowDxfId="224"/>
    <tableColumn id="22" xr3:uid="{00000000-0010-0000-0900-000016000000}" name="21" totalsRowFunction="count" dataDxfId="223" totalsRowDxfId="222"/>
    <tableColumn id="23" xr3:uid="{00000000-0010-0000-0900-000017000000}" name="22" totalsRowFunction="count" dataDxfId="221" totalsRowDxfId="220"/>
    <tableColumn id="24" xr3:uid="{00000000-0010-0000-0900-000018000000}" name="23" totalsRowFunction="count" dataDxfId="219" totalsRowDxfId="218"/>
    <tableColumn id="25" xr3:uid="{00000000-0010-0000-0900-000019000000}" name="24" totalsRowFunction="count" dataDxfId="217" totalsRowDxfId="216"/>
    <tableColumn id="26" xr3:uid="{00000000-0010-0000-0900-00001A000000}" name="25" totalsRowFunction="count" dataDxfId="215" totalsRowDxfId="214"/>
    <tableColumn id="27" xr3:uid="{00000000-0010-0000-0900-00001B000000}" name="26" totalsRowFunction="count" dataDxfId="213" totalsRowDxfId="212"/>
    <tableColumn id="28" xr3:uid="{00000000-0010-0000-0900-00001C000000}" name="27" totalsRowFunction="count" dataDxfId="211" totalsRowDxfId="210"/>
    <tableColumn id="29" xr3:uid="{00000000-0010-0000-0900-00001D000000}" name="28" totalsRowFunction="count" dataDxfId="209" totalsRowDxfId="208"/>
    <tableColumn id="30" xr3:uid="{00000000-0010-0000-0900-00001E000000}" name="29" totalsRowFunction="count" dataDxfId="207" totalsRowDxfId="206"/>
    <tableColumn id="31" xr3:uid="{00000000-0010-0000-0900-00001F000000}" name="30" totalsRowFunction="count" dataDxfId="205" totalsRowDxfId="204"/>
    <tableColumn id="32" xr3:uid="{00000000-0010-0000-0900-000020000000}" name="31" totalsRowFunction="count" dataDxfId="203" totalsRowDxfId="202"/>
    <tableColumn id="33" xr3:uid="{00000000-0010-0000-0900-000021000000}" name="Totaal aantal km" totalsRowFunction="sum" dataDxfId="201" totalsRowDxfId="200" dataCellStyle="Totaal">
      <calculatedColumnFormula>SUM(Oktober[[#This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A5:AI12" headerRowDxfId="199" dataDxfId="198" totalsRowDxfId="197">
  <sortState xmlns:xlrd2="http://schemas.microsoft.com/office/spreadsheetml/2017/richdata2" ref="A6:AI12">
    <sortCondition ref="A6:A12"/>
  </sortState>
  <tableColumns count="35">
    <tableColumn id="1" xr3:uid="{00000000-0010-0000-0A00-000001000000}" name="Naam van werknemer" totalsRowFunction="custom" dataDxfId="196" totalsRowDxfId="195" dataCellStyle="Werknemer">
      <totalsRowFormula>MonthName&amp;" Totaal"</totalsRowFormula>
    </tableColumn>
    <tableColumn id="34" xr3:uid="{3424BD45-303E-4BEB-A8FE-EAA7A0E2AA3A}" name="Begin Km maand" dataDxfId="194" totalsRowDxfId="193"/>
    <tableColumn id="36" xr3:uid="{BF701325-E645-4C71-AE76-D7ED5FAC0779}" name="Eind Km maand" dataDxfId="192" totalsRowDxfId="191"/>
    <tableColumn id="37" xr3:uid="{AC5B2F2C-54C7-48A0-8729-993318DFF99F}" name="Nummerplaat" dataDxfId="190" totalsRowDxfId="189"/>
    <tableColumn id="2" xr3:uid="{00000000-0010-0000-0A00-000002000000}" name="1" totalsRowFunction="count" dataDxfId="188" totalsRowDxfId="187"/>
    <tableColumn id="3" xr3:uid="{00000000-0010-0000-0A00-000003000000}" name="2" totalsRowFunction="count" dataDxfId="186" totalsRowDxfId="185"/>
    <tableColumn id="4" xr3:uid="{00000000-0010-0000-0A00-000004000000}" name="3" totalsRowFunction="count" dataDxfId="184" totalsRowDxfId="183"/>
    <tableColumn id="5" xr3:uid="{00000000-0010-0000-0A00-000005000000}" name="4" totalsRowFunction="count" dataDxfId="182" totalsRowDxfId="181"/>
    <tableColumn id="6" xr3:uid="{00000000-0010-0000-0A00-000006000000}" name="5" totalsRowFunction="count" dataDxfId="180" totalsRowDxfId="179"/>
    <tableColumn id="7" xr3:uid="{00000000-0010-0000-0A00-000007000000}" name="6" totalsRowFunction="count" dataDxfId="178" totalsRowDxfId="177"/>
    <tableColumn id="8" xr3:uid="{00000000-0010-0000-0A00-000008000000}" name="7" totalsRowFunction="count" dataDxfId="176" totalsRowDxfId="175"/>
    <tableColumn id="9" xr3:uid="{00000000-0010-0000-0A00-000009000000}" name="8" totalsRowFunction="count" dataDxfId="174" totalsRowDxfId="173"/>
    <tableColumn id="10" xr3:uid="{00000000-0010-0000-0A00-00000A000000}" name="9" totalsRowFunction="count" dataDxfId="172" totalsRowDxfId="171"/>
    <tableColumn id="11" xr3:uid="{00000000-0010-0000-0A00-00000B000000}" name="10" totalsRowFunction="count" dataDxfId="170" totalsRowDxfId="169"/>
    <tableColumn id="12" xr3:uid="{00000000-0010-0000-0A00-00000C000000}" name="11" totalsRowFunction="count" dataDxfId="168" totalsRowDxfId="167"/>
    <tableColumn id="13" xr3:uid="{00000000-0010-0000-0A00-00000D000000}" name="12" totalsRowFunction="count" dataDxfId="166" totalsRowDxfId="165"/>
    <tableColumn id="14" xr3:uid="{00000000-0010-0000-0A00-00000E000000}" name="13" totalsRowFunction="count" dataDxfId="164" totalsRowDxfId="163"/>
    <tableColumn id="15" xr3:uid="{00000000-0010-0000-0A00-00000F000000}" name="14" totalsRowFunction="count" dataDxfId="162" totalsRowDxfId="161"/>
    <tableColumn id="16" xr3:uid="{00000000-0010-0000-0A00-000010000000}" name="15" totalsRowFunction="count" dataDxfId="160" totalsRowDxfId="159"/>
    <tableColumn id="17" xr3:uid="{00000000-0010-0000-0A00-000011000000}" name="16" totalsRowFunction="count" dataDxfId="158" totalsRowDxfId="157"/>
    <tableColumn id="18" xr3:uid="{00000000-0010-0000-0A00-000012000000}" name="17" totalsRowFunction="count" dataDxfId="156" totalsRowDxfId="155"/>
    <tableColumn id="19" xr3:uid="{00000000-0010-0000-0A00-000013000000}" name="18" totalsRowFunction="count" dataDxfId="154" totalsRowDxfId="153"/>
    <tableColumn id="20" xr3:uid="{00000000-0010-0000-0A00-000014000000}" name="19" totalsRowFunction="count" dataDxfId="152" totalsRowDxfId="151"/>
    <tableColumn id="21" xr3:uid="{00000000-0010-0000-0A00-000015000000}" name="20" totalsRowFunction="count" dataDxfId="150" totalsRowDxfId="149"/>
    <tableColumn id="22" xr3:uid="{00000000-0010-0000-0A00-000016000000}" name="21" totalsRowFunction="count" dataDxfId="148" totalsRowDxfId="147"/>
    <tableColumn id="23" xr3:uid="{00000000-0010-0000-0A00-000017000000}" name="22" totalsRowFunction="count" dataDxfId="146" totalsRowDxfId="145"/>
    <tableColumn id="24" xr3:uid="{00000000-0010-0000-0A00-000018000000}" name="23" totalsRowFunction="count" dataDxfId="144" totalsRowDxfId="143"/>
    <tableColumn id="25" xr3:uid="{00000000-0010-0000-0A00-000019000000}" name="24" totalsRowFunction="count" dataDxfId="142" totalsRowDxfId="141"/>
    <tableColumn id="26" xr3:uid="{00000000-0010-0000-0A00-00001A000000}" name="25" totalsRowFunction="count" dataDxfId="140" totalsRowDxfId="139"/>
    <tableColumn id="27" xr3:uid="{00000000-0010-0000-0A00-00001B000000}" name="26" totalsRowFunction="count" dataDxfId="138" totalsRowDxfId="137"/>
    <tableColumn id="28" xr3:uid="{00000000-0010-0000-0A00-00001C000000}" name="27" totalsRowFunction="count" dataDxfId="136" totalsRowDxfId="135"/>
    <tableColumn id="29" xr3:uid="{00000000-0010-0000-0A00-00001D000000}" name="28" totalsRowFunction="count" dataDxfId="134" totalsRowDxfId="133"/>
    <tableColumn id="30" xr3:uid="{00000000-0010-0000-0A00-00001E000000}" name="29" totalsRowFunction="count" dataDxfId="132" totalsRowDxfId="131"/>
    <tableColumn id="31" xr3:uid="{00000000-0010-0000-0A00-00001F000000}" name="30" totalsRowFunction="count" dataDxfId="130" totalsRowDxfId="129"/>
    <tableColumn id="33" xr3:uid="{00000000-0010-0000-0A00-000021000000}" name="Totaal aantal km" totalsRowFunction="sum" dataDxfId="128" totalsRowDxfId="127" dataCellStyle="Totaal">
      <calculatedColumnFormula>SUM(November[[#This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A5:AJ12" headerRowDxfId="126" dataDxfId="125" totalsRowDxfId="124">
  <sortState xmlns:xlrd2="http://schemas.microsoft.com/office/spreadsheetml/2017/richdata2" ref="A6:AJ12">
    <sortCondition ref="A6:A12"/>
  </sortState>
  <tableColumns count="36">
    <tableColumn id="1" xr3:uid="{00000000-0010-0000-0B00-000001000000}" name="Naam van werknemer" totalsRowFunction="custom" dataDxfId="123" totalsRowDxfId="122" dataCellStyle="Werknemer">
      <totalsRowFormula>MonthName&amp;" Totaal"</totalsRowFormula>
    </tableColumn>
    <tableColumn id="35" xr3:uid="{09123C3D-5644-40E2-AA0D-919191852E78}" name="Begin Km maand" dataDxfId="121" totalsRowDxfId="120"/>
    <tableColumn id="37" xr3:uid="{AF6C5A70-406B-4F5B-AF14-E1D1EF450AA2}" name="Eind Km maand" dataDxfId="119" totalsRowDxfId="118"/>
    <tableColumn id="36" xr3:uid="{2A935864-71D7-4F21-835B-F1E581E525B2}" name="Nummerplaat" dataDxfId="117" totalsRowDxfId="116"/>
    <tableColumn id="2" xr3:uid="{00000000-0010-0000-0B00-000002000000}" name="1" totalsRowFunction="count" dataDxfId="115" totalsRowDxfId="114"/>
    <tableColumn id="3" xr3:uid="{00000000-0010-0000-0B00-000003000000}" name="2" totalsRowFunction="count" dataDxfId="113" totalsRowDxfId="112"/>
    <tableColumn id="4" xr3:uid="{00000000-0010-0000-0B00-000004000000}" name="3" totalsRowFunction="count" dataDxfId="111" totalsRowDxfId="110"/>
    <tableColumn id="5" xr3:uid="{00000000-0010-0000-0B00-000005000000}" name="4" totalsRowFunction="count" dataDxfId="109" totalsRowDxfId="108"/>
    <tableColumn id="6" xr3:uid="{00000000-0010-0000-0B00-000006000000}" name="5" totalsRowFunction="count" dataDxfId="107" totalsRowDxfId="106"/>
    <tableColumn id="7" xr3:uid="{00000000-0010-0000-0B00-000007000000}" name="6" totalsRowFunction="count" dataDxfId="105" totalsRowDxfId="104"/>
    <tableColumn id="8" xr3:uid="{00000000-0010-0000-0B00-000008000000}" name="7" totalsRowFunction="count" dataDxfId="103" totalsRowDxfId="102"/>
    <tableColumn id="9" xr3:uid="{00000000-0010-0000-0B00-000009000000}" name="8" totalsRowFunction="count" dataDxfId="101" totalsRowDxfId="100"/>
    <tableColumn id="10" xr3:uid="{00000000-0010-0000-0B00-00000A000000}" name="9" totalsRowFunction="count" dataDxfId="99" totalsRowDxfId="98"/>
    <tableColumn id="11" xr3:uid="{00000000-0010-0000-0B00-00000B000000}" name="10" totalsRowFunction="count" dataDxfId="97" totalsRowDxfId="96"/>
    <tableColumn id="12" xr3:uid="{00000000-0010-0000-0B00-00000C000000}" name="11" totalsRowFunction="count" dataDxfId="95" totalsRowDxfId="94"/>
    <tableColumn id="13" xr3:uid="{00000000-0010-0000-0B00-00000D000000}" name="12" totalsRowFunction="count" dataDxfId="93" totalsRowDxfId="92"/>
    <tableColumn id="14" xr3:uid="{00000000-0010-0000-0B00-00000E000000}" name="13" totalsRowFunction="count" dataDxfId="91" totalsRowDxfId="90"/>
    <tableColumn id="15" xr3:uid="{00000000-0010-0000-0B00-00000F000000}" name="14" totalsRowFunction="count" dataDxfId="89" totalsRowDxfId="88"/>
    <tableColumn id="16" xr3:uid="{00000000-0010-0000-0B00-000010000000}" name="15" totalsRowFunction="count" dataDxfId="87" totalsRowDxfId="86"/>
    <tableColumn id="17" xr3:uid="{00000000-0010-0000-0B00-000011000000}" name="16" totalsRowFunction="count" dataDxfId="85" totalsRowDxfId="84"/>
    <tableColumn id="18" xr3:uid="{00000000-0010-0000-0B00-000012000000}" name="17" totalsRowFunction="count" dataDxfId="83" totalsRowDxfId="82"/>
    <tableColumn id="19" xr3:uid="{00000000-0010-0000-0B00-000013000000}" name="18" totalsRowFunction="count" dataDxfId="81" totalsRowDxfId="80"/>
    <tableColumn id="20" xr3:uid="{00000000-0010-0000-0B00-000014000000}" name="19" totalsRowFunction="count" dataDxfId="79" totalsRowDxfId="78"/>
    <tableColumn id="21" xr3:uid="{00000000-0010-0000-0B00-000015000000}" name="20" totalsRowFunction="count" dataDxfId="77" totalsRowDxfId="76"/>
    <tableColumn id="22" xr3:uid="{00000000-0010-0000-0B00-000016000000}" name="21" totalsRowFunction="count" dataDxfId="75" totalsRowDxfId="74"/>
    <tableColumn id="23" xr3:uid="{00000000-0010-0000-0B00-000017000000}" name="22" totalsRowFunction="count" dataDxfId="73" totalsRowDxfId="72"/>
    <tableColumn id="24" xr3:uid="{00000000-0010-0000-0B00-000018000000}" name="23" totalsRowFunction="count" dataDxfId="71" totalsRowDxfId="70"/>
    <tableColumn id="25" xr3:uid="{00000000-0010-0000-0B00-000019000000}" name="24" totalsRowFunction="count" dataDxfId="69" totalsRowDxfId="68"/>
    <tableColumn id="26" xr3:uid="{00000000-0010-0000-0B00-00001A000000}" name="25" totalsRowFunction="count" dataDxfId="67" totalsRowDxfId="66"/>
    <tableColumn id="27" xr3:uid="{00000000-0010-0000-0B00-00001B000000}" name="26" totalsRowFunction="count" dataDxfId="65" totalsRowDxfId="64"/>
    <tableColumn id="28" xr3:uid="{00000000-0010-0000-0B00-00001C000000}" name="27" totalsRowFunction="count" dataDxfId="63" totalsRowDxfId="62"/>
    <tableColumn id="29" xr3:uid="{00000000-0010-0000-0B00-00001D000000}" name="28" totalsRowFunction="count" dataDxfId="61" totalsRowDxfId="60"/>
    <tableColumn id="30" xr3:uid="{00000000-0010-0000-0B00-00001E000000}" name="29" totalsRowFunction="count" dataDxfId="59" totalsRowDxfId="58"/>
    <tableColumn id="31" xr3:uid="{00000000-0010-0000-0B00-00001F000000}" name="30" totalsRowFunction="count" dataDxfId="57" totalsRowDxfId="56"/>
    <tableColumn id="32" xr3:uid="{00000000-0010-0000-0B00-000020000000}" name="31" totalsRowFunction="count" dataDxfId="55" totalsRowDxfId="54"/>
    <tableColumn id="33" xr3:uid="{00000000-0010-0000-0B00-000021000000}" name="Totaal aantal km" totalsRowFunction="sum" dataDxfId="53" totalsRowDxfId="52" dataCellStyle="Totaal">
      <calculatedColumnFormula>SUM(December[[#This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Biedt een lijst met namen en kalenderdatums om de afwezigheid van werknemers en specifiek afwezigheidstype vast te leggen, zoals V=vakantie, Z=ziek, P=persoonlijk en twee tijdelijke aanduidingen voor aangepaste vermeldingen"/>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tabColor theme="2" tint="-0.89999084444715716"/>
    <pageSetUpPr fitToPage="1"/>
  </sheetPr>
  <dimension ref="A1:AM11"/>
  <sheetViews>
    <sheetView showGridLines="0" topLeftCell="B1" zoomScaleNormal="100" workbookViewId="0">
      <selection activeCell="J20" sqref="J20"/>
    </sheetView>
  </sheetViews>
  <sheetFormatPr baseColWidth="10" defaultColWidth="8.83203125" defaultRowHeight="30" customHeight="1" x14ac:dyDescent="0.2"/>
  <cols>
    <col min="1" max="1" width="2.6640625" customWidth="1"/>
    <col min="2" max="2" width="20.33203125" customWidth="1"/>
    <col min="3" max="3" width="15.83203125" style="1" bestFit="1" customWidth="1"/>
    <col min="4" max="4" width="14.6640625" style="18" bestFit="1" customWidth="1"/>
    <col min="5" max="5" width="13.5" style="1" bestFit="1" customWidth="1"/>
    <col min="6" max="36" width="4.33203125" style="1" customWidth="1"/>
    <col min="37" max="37" width="15.33203125" style="1" customWidth="1"/>
    <col min="38" max="38" width="14.83203125" style="1" bestFit="1" customWidth="1"/>
    <col min="39" max="39" width="16.6640625" customWidth="1"/>
  </cols>
  <sheetData>
    <row r="1" spans="1:39" ht="50" customHeight="1" x14ac:dyDescent="0.2">
      <c r="A1" s="7"/>
      <c r="B1" s="4" t="s">
        <v>60</v>
      </c>
    </row>
    <row r="2" spans="1:39" ht="15" customHeight="1" x14ac:dyDescent="0.2"/>
    <row r="3" spans="1:39" ht="15" customHeight="1" x14ac:dyDescent="0.2"/>
    <row r="4" spans="1:39" ht="30" customHeight="1" x14ac:dyDescent="0.2">
      <c r="B4" s="3" t="s">
        <v>0</v>
      </c>
      <c r="C4" s="3"/>
      <c r="D4" s="19"/>
      <c r="E4" s="3"/>
      <c r="F4" s="27" t="s">
        <v>1</v>
      </c>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3">
        <v>2025</v>
      </c>
      <c r="AL4" s="11" t="s">
        <v>2</v>
      </c>
      <c r="AM4" s="3"/>
    </row>
    <row r="5" spans="1:39" ht="15" customHeight="1" x14ac:dyDescent="0.2">
      <c r="B5" s="3"/>
      <c r="C5" s="3"/>
      <c r="D5" s="19"/>
      <c r="E5" s="3"/>
      <c r="F5" s="1" t="str">
        <f>TEXT(WEEKDAY(DATE(CalendarYear,1,1),1),"aaa")</f>
        <v>wo</v>
      </c>
      <c r="G5" s="1" t="str">
        <f>TEXT(WEEKDAY(DATE(CalendarYear,1,2),1),"aaa")</f>
        <v>do</v>
      </c>
      <c r="H5" s="1" t="str">
        <f>TEXT(WEEKDAY(DATE(CalendarYear,1,3),1),"aaa")</f>
        <v>vr</v>
      </c>
      <c r="I5" s="1" t="str">
        <f>TEXT(WEEKDAY(DATE(CalendarYear,1,4),1),"aaa")</f>
        <v>za</v>
      </c>
      <c r="J5" s="1" t="str">
        <f>TEXT(WEEKDAY(DATE(CalendarYear,1,5),1),"aaa")</f>
        <v>zo</v>
      </c>
      <c r="K5" s="1" t="str">
        <f>TEXT(WEEKDAY(DATE(CalendarYear,1,6),1),"aaa")</f>
        <v>ma</v>
      </c>
      <c r="L5" s="1" t="str">
        <f>TEXT(WEEKDAY(DATE(CalendarYear,1,7),1),"aaa")</f>
        <v>di</v>
      </c>
      <c r="M5" s="1" t="str">
        <f>TEXT(WEEKDAY(DATE(CalendarYear,1,8),1),"aaa")</f>
        <v>wo</v>
      </c>
      <c r="N5" s="1" t="str">
        <f>TEXT(WEEKDAY(DATE(CalendarYear,1,9),1),"aaa")</f>
        <v>do</v>
      </c>
      <c r="O5" s="1" t="str">
        <f>TEXT(WEEKDAY(DATE(CalendarYear,1,10),1),"aaa")</f>
        <v>vr</v>
      </c>
      <c r="P5" s="1" t="str">
        <f>TEXT(WEEKDAY(DATE(CalendarYear,1,11),1),"aaa")</f>
        <v>za</v>
      </c>
      <c r="Q5" s="1" t="str">
        <f>TEXT(WEEKDAY(DATE(CalendarYear,1,12),1),"aaa")</f>
        <v>zo</v>
      </c>
      <c r="R5" s="1" t="str">
        <f>TEXT(WEEKDAY(DATE(CalendarYear,1,13),1),"aaa")</f>
        <v>ma</v>
      </c>
      <c r="S5" s="1" t="str">
        <f>TEXT(WEEKDAY(DATE(CalendarYear,1,14),1),"aaa")</f>
        <v>di</v>
      </c>
      <c r="T5" s="1" t="str">
        <f>TEXT(WEEKDAY(DATE(CalendarYear,1,15),1),"aaa")</f>
        <v>wo</v>
      </c>
      <c r="U5" s="1" t="str">
        <f>TEXT(WEEKDAY(DATE(CalendarYear,1,16),1),"aaa")</f>
        <v>do</v>
      </c>
      <c r="V5" s="1" t="str">
        <f>TEXT(WEEKDAY(DATE(CalendarYear,1,17),1),"aaa")</f>
        <v>vr</v>
      </c>
      <c r="W5" s="1" t="str">
        <f>TEXT(WEEKDAY(DATE(CalendarYear,1,18),1),"aaa")</f>
        <v>za</v>
      </c>
      <c r="X5" s="1" t="str">
        <f>TEXT(WEEKDAY(DATE(CalendarYear,1,19),1),"aaa")</f>
        <v>zo</v>
      </c>
      <c r="Y5" s="1" t="str">
        <f>TEXT(WEEKDAY(DATE(CalendarYear,1,20),1),"aaa")</f>
        <v>ma</v>
      </c>
      <c r="Z5" s="1" t="str">
        <f>TEXT(WEEKDAY(DATE(CalendarYear,1,21),1),"aaa")</f>
        <v>di</v>
      </c>
      <c r="AA5" s="1" t="str">
        <f>TEXT(WEEKDAY(DATE(CalendarYear,1,22),1),"aaa")</f>
        <v>wo</v>
      </c>
      <c r="AB5" s="1" t="str">
        <f>TEXT(WEEKDAY(DATE(CalendarYear,1,23),1),"aaa")</f>
        <v>do</v>
      </c>
      <c r="AC5" s="1" t="str">
        <f>TEXT(WEEKDAY(DATE(CalendarYear,1,24),1),"aaa")</f>
        <v>vr</v>
      </c>
      <c r="AD5" s="1" t="str">
        <f>TEXT(WEEKDAY(DATE(CalendarYear,1,25),1),"aaa")</f>
        <v>za</v>
      </c>
      <c r="AE5" s="1" t="str">
        <f>TEXT(WEEKDAY(DATE(CalendarYear,1,26),1),"aaa")</f>
        <v>zo</v>
      </c>
      <c r="AF5" s="1" t="str">
        <f>TEXT(WEEKDAY(DATE(CalendarYear,1,27),1),"aaa")</f>
        <v>ma</v>
      </c>
      <c r="AG5" s="1" t="str">
        <f>TEXT(WEEKDAY(DATE(CalendarYear,1,28),1),"aaa")</f>
        <v>di</v>
      </c>
      <c r="AH5" s="1" t="str">
        <f>TEXT(WEEKDAY(DATE(CalendarYear,1,29),1),"aaa")</f>
        <v>wo</v>
      </c>
      <c r="AI5" s="1" t="str">
        <f>TEXT(WEEKDAY(DATE(CalendarYear,1,30),1),"aaa")</f>
        <v>do</v>
      </c>
      <c r="AJ5" s="1" t="str">
        <f>TEXT(WEEKDAY(DATE(CalendarYear,1,31),1),"aaa")</f>
        <v>vr</v>
      </c>
      <c r="AM5" s="3"/>
    </row>
    <row r="6" spans="1:39" ht="15" customHeight="1" thickBot="1" x14ac:dyDescent="0.25">
      <c r="B6" t="s">
        <v>58</v>
      </c>
      <c r="C6" s="1" t="s">
        <v>4</v>
      </c>
      <c r="D6" s="18" t="s">
        <v>5</v>
      </c>
      <c r="E6" s="1" t="s">
        <v>6</v>
      </c>
      <c r="F6" s="1" t="s">
        <v>7</v>
      </c>
      <c r="G6" s="1" t="s">
        <v>8</v>
      </c>
      <c r="H6" s="1" t="s">
        <v>9</v>
      </c>
      <c r="I6" s="1" t="s">
        <v>10</v>
      </c>
      <c r="J6" s="1" t="s">
        <v>11</v>
      </c>
      <c r="K6" s="1" t="s">
        <v>12</v>
      </c>
      <c r="L6" s="1" t="s">
        <v>13</v>
      </c>
      <c r="M6" s="1" t="s">
        <v>14</v>
      </c>
      <c r="N6" s="1" t="s">
        <v>15</v>
      </c>
      <c r="O6" s="1" t="s">
        <v>16</v>
      </c>
      <c r="P6" s="1" t="s">
        <v>17</v>
      </c>
      <c r="Q6" s="1" t="s">
        <v>18</v>
      </c>
      <c r="R6" s="1" t="s">
        <v>19</v>
      </c>
      <c r="S6" s="1" t="s">
        <v>20</v>
      </c>
      <c r="T6" s="1" t="s">
        <v>21</v>
      </c>
      <c r="U6" s="1" t="s">
        <v>22</v>
      </c>
      <c r="V6" s="1" t="s">
        <v>23</v>
      </c>
      <c r="W6" s="1" t="s">
        <v>24</v>
      </c>
      <c r="X6" s="1" t="s">
        <v>25</v>
      </c>
      <c r="Y6" s="1" t="s">
        <v>26</v>
      </c>
      <c r="Z6" s="1" t="s">
        <v>27</v>
      </c>
      <c r="AA6" s="1" t="s">
        <v>28</v>
      </c>
      <c r="AB6" s="1" t="s">
        <v>29</v>
      </c>
      <c r="AC6" s="1" t="s">
        <v>30</v>
      </c>
      <c r="AD6" s="1" t="s">
        <v>31</v>
      </c>
      <c r="AE6" s="1" t="s">
        <v>32</v>
      </c>
      <c r="AF6" s="1" t="s">
        <v>33</v>
      </c>
      <c r="AG6" s="1" t="s">
        <v>34</v>
      </c>
      <c r="AH6" s="1" t="s">
        <v>35</v>
      </c>
      <c r="AI6" s="1" t="s">
        <v>36</v>
      </c>
      <c r="AJ6" s="1" t="s">
        <v>37</v>
      </c>
      <c r="AK6" s="1" t="s">
        <v>38</v>
      </c>
      <c r="AL6" s="11" t="s">
        <v>56</v>
      </c>
      <c r="AM6" s="9" t="s">
        <v>39</v>
      </c>
    </row>
    <row r="7" spans="1:39" ht="30" customHeight="1" thickBot="1" x14ac:dyDescent="0.25">
      <c r="B7" t="s">
        <v>42</v>
      </c>
      <c r="D7" s="1"/>
      <c r="E7" s="1" t="s">
        <v>63</v>
      </c>
      <c r="AL7" s="1">
        <f>Januari[[#This Row],[Totaal aantal km]]*0.4</f>
        <v>0</v>
      </c>
      <c r="AM7" s="20"/>
    </row>
    <row r="8" spans="1:39" ht="30" customHeight="1" thickBot="1" x14ac:dyDescent="0.25">
      <c r="B8" t="s">
        <v>41</v>
      </c>
      <c r="D8" s="1"/>
      <c r="E8" s="1" t="s">
        <v>68</v>
      </c>
      <c r="AK8" s="23"/>
      <c r="AL8" s="1">
        <f>Januari[[#This Row],[Totaal aantal km]]*0.4</f>
        <v>0</v>
      </c>
      <c r="AM8" s="20"/>
    </row>
    <row r="9" spans="1:39" ht="30" customHeight="1" thickBot="1" x14ac:dyDescent="0.25">
      <c r="B9" t="s">
        <v>64</v>
      </c>
      <c r="D9" s="1"/>
      <c r="E9" s="1" t="s">
        <v>65</v>
      </c>
      <c r="AL9" s="1">
        <f>Januari[[#This Row],[Totaal aantal km]]*0.4</f>
        <v>0</v>
      </c>
      <c r="AM9" s="20"/>
    </row>
    <row r="10" spans="1:39" ht="30" customHeight="1" thickBot="1" x14ac:dyDescent="0.25">
      <c r="B10" t="s">
        <v>69</v>
      </c>
      <c r="D10" s="1"/>
      <c r="AL10" s="1">
        <f>Januari[[#This Row],[Totaal aantal km]]*0.4</f>
        <v>0</v>
      </c>
      <c r="AM10" s="20"/>
    </row>
    <row r="11" spans="1:39" ht="30" customHeight="1" thickBot="1" x14ac:dyDescent="0.25">
      <c r="AK11" s="15" t="s">
        <v>57</v>
      </c>
      <c r="AL11" s="1">
        <f>SUM(AL7:AL10)</f>
        <v>0</v>
      </c>
      <c r="AM11" s="20"/>
    </row>
  </sheetData>
  <mergeCells count="1">
    <mergeCell ref="F4:AJ4"/>
  </mergeCells>
  <phoneticPr fontId="18" type="noConversion"/>
  <dataValidations count="10">
    <dataValidation allowBlank="1" showInputMessage="1" showErrorMessage="1" prompt="De dagen van de maand in deze rij worden automatisch gegenereerd. Voer voor elke dag van de maand in elke kolom het verzuim en het type verzuim van een werknemer in. Leeg betekent geen verzuim" sqref="F6" xr:uid="{00000000-0002-0000-0000-000002000000}"/>
    <dataValidation allowBlank="1" showInputMessage="1" showErrorMessage="1" prompt="Weekdagen in deze rij worden automatisch bijgewerkt voor de maand, overeenkomstig het jaar dat is ingevoerd in AH4. Elke dag van de maand is een kolom om het verzuim en type verzuim van een werknemer te noteren" sqref="F5" xr:uid="{00000000-0002-0000-0000-000003000000}"/>
    <dataValidation allowBlank="1" showInputMessage="1" showErrorMessage="1" prompt="Berekent automatisch het totaal aantal dagen dat een werknemer in deze maand niet afwezig was" sqref="AK6" xr:uid="{00000000-0002-0000-0000-000004000000}"/>
    <dataValidation allowBlank="1" showInputMessage="1" showErrorMessage="1" prompt="De Werknemers Verzuimtabel houdt het verzuim van werknemers per dag bij voor elke maand. Er zijn 13 werkbladen, met een maandelijkse en laatste voor namen van werknemers. Het verzuim van januari in dit werkblad volgen" sqref="A1" xr:uid="{00000000-0002-0000-0000-00000D000000}"/>
    <dataValidation allowBlank="1" showInputMessage="1" showErrorMessage="1" prompt="Jaar invoeren in de cel eronder" sqref="AK3" xr:uid="{00000000-0002-0000-0000-00000E000000}"/>
    <dataValidation allowBlank="1" showInputMessage="1" showErrorMessage="1" prompt="Automatisch bijgewerkt jaar op basis van het jaar dat in het werkblad januari is ingevoerd" sqref="AK4" xr:uid="{557CA75F-766E-4CAC-8A6E-940B5CE053F3}"/>
    <dataValidation allowBlank="1" showInputMessage="1" showErrorMessage="1" prompt="De titel wordt automatisch bijgewerkt in deze cel. Als u de titel wilt wijzigen, werk B1 in het januari-werkblad bij" sqref="B1" xr:uid="{A6DB5003-295F-4171-AC10-7DC8B77D1931}"/>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E6 AM6" xr:uid="{00000000-0002-0000-0000-000001000000}"/>
    <dataValidation allowBlank="1" showInputMessage="1" showErrorMessage="1" prompt="De titel van het werkblad bevindt zich in deze cel. Werk de titel bij en de wijzigingen worden automatisch overgenomen door elk werkblad" sqref="C1:E1 AM1" xr:uid="{00000000-0002-0000-0000-000005000000}"/>
    <dataValidation allowBlank="1" showInputMessage="1" showErrorMessage="1" prompt="De naam van de maand voor dit verzuimschema bevindt zich in deze cel. De absentietotalen voor deze maand staan in de laatste cel van de tabel. Namen van werknemers selecteren in tabelkolom B" sqref="B4:E5 AM4:AM5" xr:uid="{9D18653D-0727-4EEC-A8CA-06F2403BF584}"/>
  </dataValidations>
  <printOptions horizontalCentered="1"/>
  <pageMargins left="0.25" right="0.25" top="0.75" bottom="0.75" header="0.3" footer="0.3"/>
  <pageSetup paperSize="9" scale="57" fitToHeight="0" orientation="landscape"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0FFE-E137-8B45-9217-4A1439BFD592}">
  <dimension ref="A1"/>
  <sheetViews>
    <sheetView tabSelected="1"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theme="2" tint="-0.749992370372631"/>
    <pageSetUpPr fitToPage="1"/>
  </sheetPr>
  <dimension ref="A1:AL12"/>
  <sheetViews>
    <sheetView showGridLines="0" zoomScaleNormal="100" workbookViewId="0">
      <selection activeCell="E7" sqref="E7:AF11"/>
    </sheetView>
  </sheetViews>
  <sheetFormatPr baseColWidth="10" defaultColWidth="9.1640625" defaultRowHeight="30" customHeight="1" x14ac:dyDescent="0.2"/>
  <cols>
    <col min="1" max="1" width="21.5"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c r="AK1" s="1"/>
    </row>
    <row r="2" spans="1:38" ht="15" customHeight="1" x14ac:dyDescent="0.2">
      <c r="AK2" s="1"/>
    </row>
    <row r="3" spans="1:38" ht="15" customHeight="1" x14ac:dyDescent="0.2">
      <c r="AK3" s="1"/>
    </row>
    <row r="4" spans="1:38" ht="30" customHeight="1" x14ac:dyDescent="0.2">
      <c r="A4" s="3" t="s">
        <v>44</v>
      </c>
      <c r="B4" s="3"/>
      <c r="C4" s="3"/>
      <c r="D4" s="3"/>
      <c r="E4" s="27" t="s">
        <v>1</v>
      </c>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3">
        <f>CalendarYear</f>
        <v>2025</v>
      </c>
      <c r="AK4" s="11" t="s">
        <v>2</v>
      </c>
      <c r="AL4" s="3"/>
    </row>
    <row r="5" spans="1:38" ht="15" customHeight="1" x14ac:dyDescent="0.2">
      <c r="A5" s="3"/>
      <c r="B5" s="3"/>
      <c r="C5" s="3"/>
      <c r="D5" s="3"/>
      <c r="E5" s="1" t="str">
        <f>TEXT(WEEKDAY(DATE(CalendarYear,2,1),1),"aaa")</f>
        <v>za</v>
      </c>
      <c r="F5" s="1" t="str">
        <f>TEXT(WEEKDAY(DATE(CalendarYear,1,5),1),"aaa")</f>
        <v>zo</v>
      </c>
      <c r="G5" s="1" t="str">
        <f>TEXT(WEEKDAY(DATE(CalendarYear,1,6),1),"aaa")</f>
        <v>ma</v>
      </c>
      <c r="H5" s="1" t="str">
        <f>TEXT(WEEKDAY(DATE(CalendarYear,1,7),1),"aaa")</f>
        <v>di</v>
      </c>
      <c r="I5" s="1" t="str">
        <f>TEXT(WEEKDAY(DATE(CalendarYear,1,8),1),"aaa")</f>
        <v>wo</v>
      </c>
      <c r="J5" s="1" t="str">
        <f>TEXT(WEEKDAY(DATE(CalendarYear,1,9),1),"aaa")</f>
        <v>do</v>
      </c>
      <c r="K5" s="1" t="str">
        <f>TEXT(WEEKDAY(DATE(CalendarYear,1,10),1),"aaa")</f>
        <v>vr</v>
      </c>
      <c r="L5" s="1" t="str">
        <f>TEXT(WEEKDAY(DATE(CalendarYear,1,11),1),"aaa")</f>
        <v>za</v>
      </c>
      <c r="M5" s="1" t="str">
        <f>TEXT(WEEKDAY(DATE(CalendarYear,1,12),1),"aaa")</f>
        <v>zo</v>
      </c>
      <c r="N5" s="1" t="str">
        <f>TEXT(WEEKDAY(DATE(CalendarYear,1,13),1),"aaa")</f>
        <v>ma</v>
      </c>
      <c r="O5" s="1" t="str">
        <f>TEXT(WEEKDAY(DATE(CalendarYear,1,14),1),"aaa")</f>
        <v>di</v>
      </c>
      <c r="P5" s="1" t="str">
        <f>TEXT(WEEKDAY(DATE(CalendarYear,1,15),1),"aaa")</f>
        <v>wo</v>
      </c>
      <c r="Q5" s="1" t="str">
        <f>TEXT(WEEKDAY(DATE(CalendarYear,1,16),1),"aaa")</f>
        <v>do</v>
      </c>
      <c r="R5" s="1" t="str">
        <f>TEXT(WEEKDAY(DATE(CalendarYear,1,17),1),"aaa")</f>
        <v>vr</v>
      </c>
      <c r="S5" s="1" t="str">
        <f>TEXT(WEEKDAY(DATE(CalendarYear,1,18),1),"aaa")</f>
        <v>za</v>
      </c>
      <c r="T5" s="1" t="str">
        <f>TEXT(WEEKDAY(DATE(CalendarYear,1,19),1),"aaa")</f>
        <v>zo</v>
      </c>
      <c r="U5" s="1" t="str">
        <f>TEXT(WEEKDAY(DATE(CalendarYear,1,20),1),"aaa")</f>
        <v>ma</v>
      </c>
      <c r="V5" s="1" t="str">
        <f>TEXT(WEEKDAY(DATE(CalendarYear,1,21),1),"aaa")</f>
        <v>di</v>
      </c>
      <c r="W5" s="1" t="str">
        <f>TEXT(WEEKDAY(DATE(CalendarYear,1,22),1),"aaa")</f>
        <v>wo</v>
      </c>
      <c r="X5" s="1" t="str">
        <f>TEXT(WEEKDAY(DATE(CalendarYear,1,23),1),"aaa")</f>
        <v>do</v>
      </c>
      <c r="Y5" s="1" t="str">
        <f>TEXT(WEEKDAY(DATE(CalendarYear,1,24),1),"aaa")</f>
        <v>vr</v>
      </c>
      <c r="Z5" s="1" t="str">
        <f>TEXT(WEEKDAY(DATE(CalendarYear,1,25),1),"aaa")</f>
        <v>za</v>
      </c>
      <c r="AA5" s="1" t="str">
        <f>TEXT(WEEKDAY(DATE(CalendarYear,1,26),1),"aaa")</f>
        <v>zo</v>
      </c>
      <c r="AB5" s="1" t="str">
        <f>TEXT(WEEKDAY(DATE(CalendarYear,1,27),1),"aaa")</f>
        <v>ma</v>
      </c>
      <c r="AC5" s="1" t="str">
        <f>TEXT(WEEKDAY(DATE(CalendarYear,1,28),1),"aaa")</f>
        <v>di</v>
      </c>
      <c r="AD5" s="1" t="str">
        <f>TEXT(WEEKDAY(DATE(CalendarYear,1,29),1),"aaa")</f>
        <v>wo</v>
      </c>
      <c r="AE5" s="1" t="str">
        <f>TEXT(WEEKDAY(DATE(CalendarYear,1,30),1),"aaa")</f>
        <v>do</v>
      </c>
      <c r="AF5" s="1" t="str">
        <f>TEXT(WEEKDAY(DATE(CalendarYear,1,31),1),"aaa")</f>
        <v>vr</v>
      </c>
      <c r="AG5" s="1" t="str">
        <f>TEXT(WEEKDAY(DATE(CalendarYear,2,29),1),"aaa")</f>
        <v>za</v>
      </c>
      <c r="AH5" s="1"/>
      <c r="AI5" s="1"/>
      <c r="AJ5" s="3"/>
      <c r="AK5" s="1"/>
      <c r="AL5" s="3"/>
    </row>
    <row r="6" spans="1:38" ht="15" customHeight="1" thickBot="1" x14ac:dyDescent="0.25">
      <c r="A6" s="5"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c r="AF6" s="1" t="s">
        <v>34</v>
      </c>
      <c r="AG6" s="1" t="s">
        <v>35</v>
      </c>
      <c r="AH6" s="1" t="s">
        <v>45</v>
      </c>
      <c r="AI6" s="1" t="s">
        <v>46</v>
      </c>
      <c r="AJ6" s="6" t="s">
        <v>38</v>
      </c>
      <c r="AK6" s="11" t="s">
        <v>56</v>
      </c>
      <c r="AL6" s="9" t="s">
        <v>39</v>
      </c>
    </row>
    <row r="7" spans="1:38" ht="30" customHeight="1" thickBot="1" x14ac:dyDescent="0.25">
      <c r="A7" t="s">
        <v>43</v>
      </c>
      <c r="D7" s="1" t="s">
        <v>61</v>
      </c>
      <c r="AJ7" s="8">
        <f>SUM(Februari[[#This Row],[1]:[29]])</f>
        <v>0</v>
      </c>
      <c r="AK7" s="1">
        <f>Februari[[#This Row],[Totaal aantal km]]*0.4</f>
        <v>0</v>
      </c>
      <c r="AL7" s="20"/>
    </row>
    <row r="8" spans="1:38" ht="30" customHeight="1" thickBot="1" x14ac:dyDescent="0.25">
      <c r="A8" t="s">
        <v>40</v>
      </c>
      <c r="D8" s="1" t="s">
        <v>62</v>
      </c>
      <c r="AJ8" s="8">
        <f>SUM(Februari[[#This Row],[1]:[29]])</f>
        <v>0</v>
      </c>
      <c r="AK8" s="1">
        <f>Februari[[#This Row],[Totaal aantal km]]*0.4</f>
        <v>0</v>
      </c>
      <c r="AL8" s="20"/>
    </row>
    <row r="9" spans="1:38" ht="30" customHeight="1" thickBot="1" x14ac:dyDescent="0.25">
      <c r="A9" s="24" t="s">
        <v>71</v>
      </c>
      <c r="D9" s="1" t="s">
        <v>72</v>
      </c>
      <c r="AJ9" s="8">
        <f>SUM(Februari[[#This Row],[1]:[29]])</f>
        <v>0</v>
      </c>
      <c r="AK9" s="1">
        <f>Februari[[#This Row],[Totaal aantal km]]*0.4</f>
        <v>0</v>
      </c>
      <c r="AL9" s="20"/>
    </row>
    <row r="10" spans="1:38" ht="30" customHeight="1" thickBot="1" x14ac:dyDescent="0.25">
      <c r="A10" t="s">
        <v>64</v>
      </c>
      <c r="D10" s="1" t="s">
        <v>65</v>
      </c>
      <c r="AJ10" s="8">
        <f>SUM(Februari[[#This Row],[1]:[29]])</f>
        <v>0</v>
      </c>
      <c r="AK10" s="1">
        <f>Februari[[#This Row],[Totaal aantal km]]*0.4</f>
        <v>0</v>
      </c>
      <c r="AL10" s="20"/>
    </row>
    <row r="11" spans="1:38" ht="30" customHeight="1" thickBot="1" x14ac:dyDescent="0.25">
      <c r="A11" t="s">
        <v>69</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2">
        <f>SUM(Februari[[#This Row],[1]:[29]])</f>
        <v>0</v>
      </c>
      <c r="AK11" s="1">
        <f>Februari[[#This Row],[Totaal aantal km]]*0.4</f>
        <v>0</v>
      </c>
      <c r="AL11" s="20"/>
    </row>
    <row r="12" spans="1:38" ht="30" customHeight="1" thickBot="1" x14ac:dyDescent="0.25">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4">
        <f>SUM(AK7:AK11)</f>
        <v>0</v>
      </c>
      <c r="AL12" s="20"/>
    </row>
  </sheetData>
  <mergeCells count="1">
    <mergeCell ref="E4:AI4"/>
  </mergeCells>
  <phoneticPr fontId="18" type="noConversion"/>
  <conditionalFormatting sqref="E7:AI11">
    <cfRule type="expression" priority="2" stopIfTrue="1">
      <formula>E7=""</formula>
    </cfRule>
    <cfRule type="expression" dxfId="51" priority="3" stopIfTrue="1">
      <formula>E7=KeyCustom2</formula>
    </cfRule>
    <cfRule type="expression" dxfId="50" priority="5" stopIfTrue="1">
      <formula>E7=KeyCustom1</formula>
    </cfRule>
    <cfRule type="expression" dxfId="49" priority="6" stopIfTrue="1">
      <formula>E7=KeySick</formula>
    </cfRule>
    <cfRule type="expression" dxfId="48" priority="7" stopIfTrue="1">
      <formula>E7=KeyPersonal</formula>
    </cfRule>
    <cfRule type="expression" dxfId="47" priority="8" stopIfTrue="1">
      <formula>E7=KeyVacation</formula>
    </cfRule>
  </conditionalFormatting>
  <conditionalFormatting sqref="AG5">
    <cfRule type="expression" dxfId="46" priority="15">
      <formula>MONTH(DATE(CalendarYear,2,29))&lt;&gt;2</formula>
    </cfRule>
  </conditionalFormatting>
  <conditionalFormatting sqref="AG6">
    <cfRule type="expression" dxfId="45" priority="16">
      <formula>MONTH(DATE(CalendarYear,2,29))&lt;&gt;2</formula>
    </cfRule>
  </conditionalFormatting>
  <conditionalFormatting sqref="AJ7:AJ11">
    <cfRule type="dataBar" priority="450">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7">
    <dataValidation allowBlank="1" showInputMessage="1" showErrorMessage="1" prompt="Automatisch bijgewerkt jaar op basis van het jaar dat in het werkblad januari is ingevoerd" sqref="AJ4" xr:uid="{00000000-0002-0000-0100-000000000000}"/>
    <dataValidation allowBlank="1" showInputMessage="1" showErrorMessage="1" prompt="Berekent automatisch het totaal aantal dagen die een werknemer in deze maand afwezig was in deze kolom" sqref="AJ6" xr:uid="{00000000-0002-0000-0100-000002000000}"/>
    <dataValidation allowBlank="1" showInputMessage="1" showErrorMessage="1" prompt="De titel wordt automatisch bijgewerkt in deze cel. Als u de titel wilt wijzigen, werk B1 in het januari-werkblad bij" sqref="A1:D1" xr:uid="{00000000-0002-0000-0100-000003000000}"/>
    <dataValidation allowBlank="1" showInputMessage="1" showErrorMessage="1" prompt="De naam van de maand voor dit verzuimschema bevindt zich in deze cel. De absentietotalen voor deze maand staan in de laatste cel van de tabel. Namen van werknemers selecteren in tabelkolom B" sqref="A4:D4 AL4:AL5" xr:uid="{00000000-0002-0000-0100-000004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6:D6 AL6" xr:uid="{83801023-CA73-4561-B136-E229AE79F583}"/>
    <dataValidation allowBlank="1" showInputMessage="1" showErrorMessage="1" prompt="De dagen van de maand in deze rij worden automatisch gegenereerd. Voer voor elke dag van de maand in elke kolom het verzuim en het type verzuim van een werknemer in. Leeg betekent geen verzuim" sqref="E6" xr:uid="{8BEAD6A4-BEB3-447B-BD69-9E82474D2692}"/>
    <dataValidation allowBlank="1" showInputMessage="1" showErrorMessage="1" prompt="De titel van het werkblad bevindt zich in deze cel. Werk de titel bij en de wijzigingen worden automatisch overgenomen door elk werkblad" sqref="AL1" xr:uid="{4531D471-46DF-4A6C-862E-66FB6FADB816}"/>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AJ7:AJ11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theme="2" tint="-0.499984740745262"/>
    <pageSetUpPr fitToPage="1"/>
  </sheetPr>
  <dimension ref="A1:AL12"/>
  <sheetViews>
    <sheetView showGridLines="0" zoomScaleNormal="100" workbookViewId="0">
      <selection activeCell="E6" sqref="E6:AH11"/>
    </sheetView>
  </sheetViews>
  <sheetFormatPr baseColWidth="10" defaultColWidth="8.83203125" defaultRowHeight="30" customHeight="1" x14ac:dyDescent="0.2"/>
  <cols>
    <col min="1" max="1" width="21.5" customWidth="1"/>
    <col min="2" max="2" width="15.83203125" style="1" bestFit="1" customWidth="1"/>
    <col min="3" max="3" width="14.6640625" style="1" bestFit="1" customWidth="1"/>
    <col min="4" max="4" width="13.5" style="1" bestFit="1" customWidth="1"/>
    <col min="5" max="35" width="4.33203125" customWidth="1"/>
    <col min="36" max="36" width="15.5" style="1"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c r="AK1" s="1"/>
    </row>
    <row r="2" spans="1:38" ht="15" customHeight="1" x14ac:dyDescent="0.2">
      <c r="A2" s="4"/>
      <c r="B2" s="17"/>
      <c r="C2" s="17"/>
      <c r="D2" s="17"/>
      <c r="AK2" s="1"/>
    </row>
    <row r="3" spans="1:38" ht="30" customHeight="1" x14ac:dyDescent="0.2">
      <c r="A3" s="3" t="s">
        <v>59</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c r="AK3" s="11" t="s">
        <v>2</v>
      </c>
    </row>
    <row r="4" spans="1:38" ht="15" customHeight="1" x14ac:dyDescent="0.2">
      <c r="A4" s="3"/>
      <c r="B4" s="3"/>
      <c r="C4" s="3"/>
      <c r="D4" s="3"/>
      <c r="E4" s="1" t="str">
        <f>TEXT(WEEKDAY(DATE(CalendarYear,3,1),1),"aaa")</f>
        <v>za</v>
      </c>
      <c r="F4" s="1" t="str">
        <f>TEXT(WEEKDAY(DATE(CalendarYear,1,12),1),"aaa")</f>
        <v>zo</v>
      </c>
      <c r="G4" s="1" t="str">
        <f>TEXT(WEEKDAY(DATE(CalendarYear,1,13),1),"aaa")</f>
        <v>ma</v>
      </c>
      <c r="H4" s="1" t="str">
        <f>TEXT(WEEKDAY(DATE(CalendarYear,1,14),1),"aaa")</f>
        <v>di</v>
      </c>
      <c r="I4" s="1" t="str">
        <f>TEXT(WEEKDAY(DATE(CalendarYear,1,15),1),"aaa")</f>
        <v>wo</v>
      </c>
      <c r="J4" s="1" t="str">
        <f>TEXT(WEEKDAY(DATE(CalendarYear,1,16),1),"aaa")</f>
        <v>do</v>
      </c>
      <c r="K4" s="1" t="str">
        <f>TEXT(WEEKDAY(DATE(CalendarYear,1,17),1),"aaa")</f>
        <v>vr</v>
      </c>
      <c r="L4" s="1" t="str">
        <f>TEXT(WEEKDAY(DATE(CalendarYear,1,18),1),"aaa")</f>
        <v>za</v>
      </c>
      <c r="M4" s="1" t="str">
        <f>TEXT(WEEKDAY(DATE(CalendarYear,1,19),1),"aaa")</f>
        <v>zo</v>
      </c>
      <c r="N4" s="1" t="str">
        <f>TEXT(WEEKDAY(DATE(CalendarYear,1,20),1),"aaa")</f>
        <v>ma</v>
      </c>
      <c r="O4" s="1" t="str">
        <f>TEXT(WEEKDAY(DATE(CalendarYear,1,21),1),"aaa")</f>
        <v>di</v>
      </c>
      <c r="P4" s="1" t="str">
        <f>TEXT(WEEKDAY(DATE(CalendarYear,1,22),1),"aaa")</f>
        <v>wo</v>
      </c>
      <c r="Q4" s="1" t="str">
        <f>TEXT(WEEKDAY(DATE(CalendarYear,1,23),1),"aaa")</f>
        <v>do</v>
      </c>
      <c r="R4" s="1" t="str">
        <f>TEXT(WEEKDAY(DATE(CalendarYear,1,24),1),"aaa")</f>
        <v>vr</v>
      </c>
      <c r="S4" s="1" t="str">
        <f>TEXT(WEEKDAY(DATE(CalendarYear,1,25),1),"aaa")</f>
        <v>za</v>
      </c>
      <c r="T4" s="1" t="str">
        <f>TEXT(WEEKDAY(DATE(CalendarYear,1,26),1),"aaa")</f>
        <v>zo</v>
      </c>
      <c r="U4" s="1" t="str">
        <f>TEXT(WEEKDAY(DATE(CalendarYear,1,27),1),"aaa")</f>
        <v>ma</v>
      </c>
      <c r="V4" s="1" t="str">
        <f>TEXT(WEEKDAY(DATE(CalendarYear,1,28),1),"aaa")</f>
        <v>di</v>
      </c>
      <c r="W4" s="1" t="str">
        <f>TEXT(WEEKDAY(DATE(CalendarYear,1,29),1),"aaa")</f>
        <v>wo</v>
      </c>
      <c r="X4" s="1" t="str">
        <f>TEXT(WEEKDAY(DATE(CalendarYear,1,30),1),"aaa")</f>
        <v>do</v>
      </c>
      <c r="Y4" s="1" t="str">
        <f>TEXT(WEEKDAY(DATE(CalendarYear,1,31),1),"aaa")</f>
        <v>vr</v>
      </c>
      <c r="Z4" s="1" t="str">
        <f>TEXT(WEEKDAY(DATE(CalendarYear,1,4),1),"aaa")</f>
        <v>za</v>
      </c>
      <c r="AA4" s="1" t="str">
        <f>TEXT(WEEKDAY(DATE(CalendarYear,1,5),1),"aaa")</f>
        <v>zo</v>
      </c>
      <c r="AB4" s="1" t="str">
        <f>TEXT(WEEKDAY(DATE(CalendarYear,1,6),1),"aaa")</f>
        <v>ma</v>
      </c>
      <c r="AC4" s="1" t="str">
        <f>TEXT(WEEKDAY(DATE(CalendarYear,1,28),1),"aaa")</f>
        <v>di</v>
      </c>
      <c r="AD4" s="1" t="str">
        <f>TEXT(WEEKDAY(DATE(CalendarYear,1,15),1),"aaa")</f>
        <v>wo</v>
      </c>
      <c r="AE4" s="1" t="str">
        <f>TEXT(WEEKDAY(DATE(CalendarYear,1,16),1),"aaa")</f>
        <v>do</v>
      </c>
      <c r="AF4" s="1" t="str">
        <f>TEXT(WEEKDAY(DATE(CalendarYear,1,17),1),"aaa")</f>
        <v>vr</v>
      </c>
      <c r="AG4" s="1" t="str">
        <f>TEXT(WEEKDAY(DATE(CalendarYear,1,18),1),"aaa")</f>
        <v>za</v>
      </c>
      <c r="AH4" s="1" t="str">
        <f>TEXT(WEEKDAY(DATE(CalendarYear,1,19),1),"aaa")</f>
        <v>zo</v>
      </c>
      <c r="AI4" s="1" t="str">
        <f>TEXT(WEEKDAY(DATE(CalendarYear,1,20),1),"aaa")</f>
        <v>ma</v>
      </c>
      <c r="AL4" s="3"/>
    </row>
    <row r="5" spans="1:38" ht="15" customHeight="1" thickBot="1" x14ac:dyDescent="0.25">
      <c r="A5" s="5" t="s">
        <v>3</v>
      </c>
      <c r="B5" s="1" t="s">
        <v>4</v>
      </c>
      <c r="C5" s="1" t="s">
        <v>5</v>
      </c>
      <c r="D5" s="1" t="s">
        <v>6</v>
      </c>
      <c r="E5" t="s">
        <v>7</v>
      </c>
      <c r="F5" t="s">
        <v>8</v>
      </c>
      <c r="G5" t="s">
        <v>9</v>
      </c>
      <c r="H5" t="s">
        <v>10</v>
      </c>
      <c r="I5" t="s">
        <v>11</v>
      </c>
      <c r="J5" t="s">
        <v>12</v>
      </c>
      <c r="K5" t="s">
        <v>13</v>
      </c>
      <c r="L5" t="s">
        <v>14</v>
      </c>
      <c r="M5" t="s">
        <v>15</v>
      </c>
      <c r="N5" t="s">
        <v>16</v>
      </c>
      <c r="O5" t="s">
        <v>17</v>
      </c>
      <c r="P5" t="s">
        <v>18</v>
      </c>
      <c r="Q5" t="s">
        <v>19</v>
      </c>
      <c r="R5" t="s">
        <v>20</v>
      </c>
      <c r="S5" t="s">
        <v>21</v>
      </c>
      <c r="T5" t="s">
        <v>22</v>
      </c>
      <c r="U5" t="s">
        <v>23</v>
      </c>
      <c r="V5" t="s">
        <v>24</v>
      </c>
      <c r="W5" t="s">
        <v>25</v>
      </c>
      <c r="X5" t="s">
        <v>26</v>
      </c>
      <c r="Y5" t="s">
        <v>27</v>
      </c>
      <c r="Z5" t="s">
        <v>28</v>
      </c>
      <c r="AA5" t="s">
        <v>29</v>
      </c>
      <c r="AB5" t="s">
        <v>30</v>
      </c>
      <c r="AC5" t="s">
        <v>31</v>
      </c>
      <c r="AD5" t="s">
        <v>32</v>
      </c>
      <c r="AE5" t="s">
        <v>33</v>
      </c>
      <c r="AF5" t="s">
        <v>34</v>
      </c>
      <c r="AG5" t="s">
        <v>35</v>
      </c>
      <c r="AH5" t="s">
        <v>36</v>
      </c>
      <c r="AI5" t="s">
        <v>37</v>
      </c>
      <c r="AJ5" s="1" t="s">
        <v>38</v>
      </c>
      <c r="AK5" s="11" t="s">
        <v>56</v>
      </c>
      <c r="AL5" s="9" t="s">
        <v>39</v>
      </c>
    </row>
    <row r="6" spans="1:38" ht="30" customHeight="1" thickBot="1" x14ac:dyDescent="0.25">
      <c r="A6" t="s">
        <v>43</v>
      </c>
      <c r="D6" s="1" t="s">
        <v>61</v>
      </c>
      <c r="E6" s="1"/>
      <c r="AJ6" s="1">
        <f>SUM(Maart[[#This Row],[1]:[31]])</f>
        <v>0</v>
      </c>
      <c r="AK6" s="1">
        <f>Maart[[#This Row],[Totaal aantal km]]*0.4</f>
        <v>0</v>
      </c>
      <c r="AL6" s="20"/>
    </row>
    <row r="7" spans="1:38" ht="30" customHeight="1" thickBot="1" x14ac:dyDescent="0.25">
      <c r="A7" t="s">
        <v>40</v>
      </c>
      <c r="D7" s="1" t="s">
        <v>62</v>
      </c>
      <c r="AJ7" s="1">
        <f>SUM(Maart[[#This Row],[1]:[31]])</f>
        <v>0</v>
      </c>
      <c r="AK7" s="1">
        <f>Maart[[#This Row],[Totaal aantal km]]*0.4</f>
        <v>0</v>
      </c>
      <c r="AL7" s="20"/>
    </row>
    <row r="8" spans="1:38" ht="30" customHeight="1" thickBot="1" x14ac:dyDescent="0.25">
      <c r="A8" t="s">
        <v>42</v>
      </c>
      <c r="D8" s="1" t="s">
        <v>63</v>
      </c>
      <c r="AJ8" s="1">
        <f>SUM(Maart[[#This Row],[1]:[31]])</f>
        <v>0</v>
      </c>
      <c r="AK8" s="1">
        <f>Maart[[#This Row],[Totaal aantal km]]*0.4</f>
        <v>0</v>
      </c>
      <c r="AL8" s="20"/>
    </row>
    <row r="9" spans="1:38" ht="30" customHeight="1" thickBot="1" x14ac:dyDescent="0.25">
      <c r="A9" t="s">
        <v>73</v>
      </c>
      <c r="D9" s="1" t="s">
        <v>74</v>
      </c>
      <c r="AJ9" s="1">
        <f>SUM(Maart[[#This Row],[1]:[31]])</f>
        <v>0</v>
      </c>
      <c r="AK9" s="1">
        <f>Maart[[#This Row],[Totaal aantal km]]*0.4</f>
        <v>0</v>
      </c>
      <c r="AL9" s="20"/>
    </row>
    <row r="10" spans="1:38" ht="30" customHeight="1" thickBot="1" x14ac:dyDescent="0.25">
      <c r="A10" t="s">
        <v>64</v>
      </c>
      <c r="D10" s="1" t="s">
        <v>65</v>
      </c>
      <c r="AJ10" s="1">
        <f>SUM(Maart[[#This Row],[1]:[31]])</f>
        <v>0</v>
      </c>
      <c r="AK10" s="1">
        <f>Maart[[#This Row],[Totaal aantal km]]*0.4</f>
        <v>0</v>
      </c>
      <c r="AL10" s="20"/>
    </row>
    <row r="11" spans="1:38" ht="30" customHeight="1" thickBot="1" x14ac:dyDescent="0.25">
      <c r="A11" t="s">
        <v>69</v>
      </c>
      <c r="AJ11" s="1">
        <f>SUM(Maart[[#This Row],[1]:[31]])</f>
        <v>0</v>
      </c>
      <c r="AK11" s="1">
        <f>Maart[[#This Row],[Totaal aantal km]]*0.4</f>
        <v>0</v>
      </c>
      <c r="AL11" s="20"/>
    </row>
    <row r="12" spans="1:38" ht="30" customHeight="1" thickBot="1" x14ac:dyDescent="0.25">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4">
        <f>SUM(AK6:AK11)</f>
        <v>0</v>
      </c>
      <c r="AL12" s="20"/>
    </row>
  </sheetData>
  <mergeCells count="1">
    <mergeCell ref="E3:AI3"/>
  </mergeCells>
  <phoneticPr fontId="18" type="noConversion"/>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3A22ADF0-C85A-4C43-8561-60E4ADED123E}"/>
    <dataValidation allowBlank="1" showInputMessage="1" showErrorMessage="1" prompt="De naam van de maand voor dit verzuimschema bevindt zich in deze cel. De absentietotalen voor deze maand staan in de laatste cel van de tabel. Namen van werknemers selecteren in tabelkolom B" sqref="A3:D3 AL4" xr:uid="{AE913FC8-8241-4CAC-944D-AD08568AE780}"/>
    <dataValidation allowBlank="1" showInputMessage="1" showErrorMessage="1" prompt="De titel wordt automatisch bijgewerkt in deze cel. Als u de titel wilt wijzigen, werk B1 in het januari-werkblad bij" sqref="A1:D1" xr:uid="{00000000-0002-0000-0200-000009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200-00000A000000}"/>
    <dataValidation allowBlank="1" showInputMessage="1" showErrorMessage="1" prompt="Berekent automatisch het totaal aantal dagen die een werknemer in deze maand niet aanwezig was in deze kolom" sqref="AJ5" xr:uid="{00000000-0002-0000-0200-00000C000000}"/>
    <dataValidation allowBlank="1" showInputMessage="1" showErrorMessage="1" prompt="Automatisch bijgewerkt jaar op basis van het jaar dat in het werkblad januari is ingevoerd" sqref="AJ3" xr:uid="{B87A905D-1C86-442B-91C3-40B45A41402F}"/>
    <dataValidation allowBlank="1" showInputMessage="1" showErrorMessage="1" prompt="De titel van het werkblad bevindt zich in deze cel. Werk de titel bij en de wijzigingen worden automatisch overgenomen door elk werkblad" sqref="AL1" xr:uid="{80DC7D43-C5D3-4E92-AE90-ECFBAE8A7A9C}"/>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theme="2" tint="-0.249977111117893"/>
    <pageSetUpPr fitToPage="1"/>
  </sheetPr>
  <dimension ref="A1:AK12"/>
  <sheetViews>
    <sheetView showGridLines="0" zoomScaleNormal="100" workbookViewId="0">
      <selection activeCell="E6" sqref="E6:AH11"/>
    </sheetView>
  </sheetViews>
  <sheetFormatPr baseColWidth="10" defaultColWidth="8.83203125" defaultRowHeight="30" customHeight="1" x14ac:dyDescent="0.2"/>
  <cols>
    <col min="1" max="1" width="21.83203125" customWidth="1"/>
    <col min="2" max="2" width="15.83203125" style="1" bestFit="1" customWidth="1"/>
    <col min="3" max="3" width="14.6640625" style="1" bestFit="1" customWidth="1"/>
    <col min="4" max="4" width="13.5" style="1" bestFit="1" customWidth="1"/>
    <col min="5" max="34" width="4.33203125" customWidth="1"/>
    <col min="35" max="35" width="15.5" bestFit="1" customWidth="1"/>
    <col min="36" max="36" width="14.83203125" bestFit="1" customWidth="1"/>
    <col min="37" max="37" width="16.6640625" bestFit="1" customWidth="1"/>
  </cols>
  <sheetData>
    <row r="1" spans="1:37" ht="50" customHeight="1" x14ac:dyDescent="0.2">
      <c r="A1" s="4" t="str">
        <f>Employee_Absence_Title</f>
        <v>Kilometer werknemers</v>
      </c>
      <c r="B1" s="17"/>
      <c r="C1" s="17"/>
      <c r="D1" s="17"/>
      <c r="AJ1" s="1"/>
    </row>
    <row r="2" spans="1:37" ht="15" customHeight="1" x14ac:dyDescent="0.2">
      <c r="A2" s="4"/>
      <c r="B2" s="17"/>
      <c r="C2" s="17"/>
      <c r="D2" s="17"/>
      <c r="AJ2" s="1"/>
    </row>
    <row r="3" spans="1:37" ht="30" customHeight="1" x14ac:dyDescent="0.2">
      <c r="A3" s="3" t="s">
        <v>47</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c r="AJ3" s="1"/>
    </row>
    <row r="4" spans="1:37" ht="15" customHeight="1" x14ac:dyDescent="0.2">
      <c r="A4" s="3"/>
      <c r="B4" s="3"/>
      <c r="C4" s="3"/>
      <c r="D4" s="3"/>
      <c r="E4" s="1" t="str">
        <f>TEXT(WEEKDAY(DATE(CalendarYear,4,1),1),"aaa")</f>
        <v>di</v>
      </c>
      <c r="F4" s="1" t="str">
        <f>TEXT(WEEKDAY(DATE(CalendarYear,1,8),1),"aaa")</f>
        <v>wo</v>
      </c>
      <c r="G4" s="1" t="str">
        <f>TEXT(WEEKDAY(DATE(CalendarYear,1,2),1),"aaa")</f>
        <v>do</v>
      </c>
      <c r="H4" s="1" t="str">
        <f>TEXT(WEEKDAY(DATE(CalendarYear,1,3),1),"aaa")</f>
        <v>vr</v>
      </c>
      <c r="I4" s="1" t="str">
        <f>TEXT(WEEKDAY(DATE(CalendarYear,1,4),1),"aaa")</f>
        <v>za</v>
      </c>
      <c r="J4" s="1" t="str">
        <f>TEXT(WEEKDAY(DATE(CalendarYear,1,5),1),"aaa")</f>
        <v>zo</v>
      </c>
      <c r="K4" s="1" t="str">
        <f>TEXT(WEEKDAY(DATE(CalendarYear,1,6),1),"aaa")</f>
        <v>ma</v>
      </c>
      <c r="L4" s="1" t="str">
        <f>TEXT(WEEKDAY(DATE(CalendarYear,1,7),1),"aaa")</f>
        <v>di</v>
      </c>
      <c r="M4" s="1" t="str">
        <f>TEXT(WEEKDAY(DATE(CalendarYear,1,8),1),"aaa")</f>
        <v>wo</v>
      </c>
      <c r="N4" s="1" t="str">
        <f>TEXT(WEEKDAY(DATE(CalendarYear,1,9),1),"aaa")</f>
        <v>do</v>
      </c>
      <c r="O4" s="1" t="str">
        <f>TEXT(WEEKDAY(DATE(CalendarYear,1,10),1),"aaa")</f>
        <v>vr</v>
      </c>
      <c r="P4" s="1" t="str">
        <f>TEXT(WEEKDAY(DATE(CalendarYear,1,11),1),"aaa")</f>
        <v>za</v>
      </c>
      <c r="Q4" s="1" t="str">
        <f>TEXT(WEEKDAY(DATE(CalendarYear,1,12),1),"aaa")</f>
        <v>zo</v>
      </c>
      <c r="R4" s="1" t="str">
        <f>TEXT(WEEKDAY(DATE(CalendarYear,1,13),1),"aaa")</f>
        <v>ma</v>
      </c>
      <c r="S4" s="1" t="str">
        <f>TEXT(WEEKDAY(DATE(CalendarYear,1,14),1),"aaa")</f>
        <v>di</v>
      </c>
      <c r="T4" s="1" t="str">
        <f>TEXT(WEEKDAY(DATE(CalendarYear,1,15),1),"aaa")</f>
        <v>wo</v>
      </c>
      <c r="U4" s="1" t="str">
        <f>TEXT(WEEKDAY(DATE(CalendarYear,1,16),1),"aaa")</f>
        <v>do</v>
      </c>
      <c r="V4" s="1" t="str">
        <f>TEXT(WEEKDAY(DATE(CalendarYear,1,17),1),"aaa")</f>
        <v>vr</v>
      </c>
      <c r="W4" s="1" t="str">
        <f>TEXT(WEEKDAY(DATE(CalendarYear,1,18),1),"aaa")</f>
        <v>za</v>
      </c>
      <c r="X4" s="1" t="str">
        <f>TEXT(WEEKDAY(DATE(CalendarYear,1,19),1),"aaa")</f>
        <v>zo</v>
      </c>
      <c r="Y4" s="1" t="str">
        <f>TEXT(WEEKDAY(DATE(CalendarYear,1,20),1),"aaa")</f>
        <v>ma</v>
      </c>
      <c r="Z4" s="1" t="str">
        <f>TEXT(WEEKDAY(DATE(CalendarYear,1,21),1),"aaa")</f>
        <v>di</v>
      </c>
      <c r="AA4" s="1" t="str">
        <f>TEXT(WEEKDAY(DATE(CalendarYear,1,22),1),"aaa")</f>
        <v>wo</v>
      </c>
      <c r="AB4" s="1" t="str">
        <f>TEXT(WEEKDAY(DATE(CalendarYear,1,23),1),"aaa")</f>
        <v>do</v>
      </c>
      <c r="AC4" s="1" t="str">
        <f>TEXT(WEEKDAY(DATE(CalendarYear,1,24),1),"aaa")</f>
        <v>vr</v>
      </c>
      <c r="AD4" s="1" t="str">
        <f>TEXT(WEEKDAY(DATE(CalendarYear,1,25),1),"aaa")</f>
        <v>za</v>
      </c>
      <c r="AE4" s="1" t="str">
        <f>TEXT(WEEKDAY(DATE(CalendarYear,1,26),1),"aaa")</f>
        <v>zo</v>
      </c>
      <c r="AF4" s="1" t="str">
        <f>TEXT(WEEKDAY(DATE(CalendarYear,1,27),1),"aaa")</f>
        <v>ma</v>
      </c>
      <c r="AG4" s="1" t="str">
        <f>TEXT(WEEKDAY(DATE(CalendarYear,1,28),1),"aaa")</f>
        <v>di</v>
      </c>
      <c r="AH4" s="1" t="str">
        <f>TEXT(WEEKDAY(DATE(CalendarYear,1,29),1),"aaa")</f>
        <v>wo</v>
      </c>
      <c r="AI4" s="3"/>
      <c r="AJ4" s="11" t="s">
        <v>2</v>
      </c>
      <c r="AK4" s="3"/>
    </row>
    <row r="5" spans="1:37" ht="15" customHeight="1" x14ac:dyDescent="0.2">
      <c r="A5" s="5" t="s">
        <v>3</v>
      </c>
      <c r="B5" s="1" t="s">
        <v>4</v>
      </c>
      <c r="C5" s="1" t="s">
        <v>5</v>
      </c>
      <c r="D5" s="1" t="s">
        <v>6</v>
      </c>
      <c r="E5" s="1" t="s">
        <v>7</v>
      </c>
      <c r="F5" t="s">
        <v>70</v>
      </c>
      <c r="G5" s="1" t="s">
        <v>8</v>
      </c>
      <c r="H5" s="1" t="s">
        <v>9</v>
      </c>
      <c r="I5" s="1" t="s">
        <v>10</v>
      </c>
      <c r="J5" s="1" t="s">
        <v>11</v>
      </c>
      <c r="K5" s="1" t="s">
        <v>12</v>
      </c>
      <c r="L5" s="1" t="s">
        <v>13</v>
      </c>
      <c r="M5" s="1" t="s">
        <v>14</v>
      </c>
      <c r="N5" s="1" t="s">
        <v>15</v>
      </c>
      <c r="O5" s="1" t="s">
        <v>16</v>
      </c>
      <c r="P5" s="1" t="s">
        <v>17</v>
      </c>
      <c r="Q5" s="1" t="s">
        <v>18</v>
      </c>
      <c r="R5" s="1" t="s">
        <v>19</v>
      </c>
      <c r="S5" s="1" t="s">
        <v>20</v>
      </c>
      <c r="T5" s="1" t="s">
        <v>21</v>
      </c>
      <c r="U5" s="1" t="s">
        <v>22</v>
      </c>
      <c r="V5" s="1" t="s">
        <v>23</v>
      </c>
      <c r="W5" s="1" t="s">
        <v>24</v>
      </c>
      <c r="X5" s="1" t="s">
        <v>25</v>
      </c>
      <c r="Y5" s="1" t="s">
        <v>26</v>
      </c>
      <c r="Z5" s="1" t="s">
        <v>27</v>
      </c>
      <c r="AA5" s="1" t="s">
        <v>28</v>
      </c>
      <c r="AB5" s="1" t="s">
        <v>29</v>
      </c>
      <c r="AC5" s="1" t="s">
        <v>30</v>
      </c>
      <c r="AD5" s="1" t="s">
        <v>31</v>
      </c>
      <c r="AE5" s="1" t="s">
        <v>32</v>
      </c>
      <c r="AF5" s="1" t="s">
        <v>33</v>
      </c>
      <c r="AG5" s="1" t="s">
        <v>34</v>
      </c>
      <c r="AH5" s="1" t="s">
        <v>35</v>
      </c>
      <c r="AI5" s="6" t="s">
        <v>38</v>
      </c>
      <c r="AJ5" s="11" t="s">
        <v>56</v>
      </c>
      <c r="AK5" s="9" t="s">
        <v>39</v>
      </c>
    </row>
    <row r="6" spans="1:37" ht="30" customHeight="1" x14ac:dyDescent="0.2">
      <c r="A6" t="s">
        <v>43</v>
      </c>
      <c r="D6" s="1" t="s">
        <v>61</v>
      </c>
      <c r="AI6" s="8">
        <f>SUM(April[[#This Row],[1]:[29]])</f>
        <v>0</v>
      </c>
      <c r="AJ6" s="1">
        <f>April[[#This Row],[Totaal aantal km]]*0.4</f>
        <v>0</v>
      </c>
      <c r="AK6" s="10"/>
    </row>
    <row r="7" spans="1:37" ht="30" customHeight="1" x14ac:dyDescent="0.2">
      <c r="A7" t="s">
        <v>40</v>
      </c>
      <c r="D7" s="1" t="s">
        <v>62</v>
      </c>
      <c r="AI7" s="8">
        <f>SUM(April[[#This Row],[1]:[29]])</f>
        <v>0</v>
      </c>
      <c r="AJ7" s="1">
        <f>April[[#This Row],[Totaal aantal km]]*0.4</f>
        <v>0</v>
      </c>
      <c r="AK7" s="10"/>
    </row>
    <row r="8" spans="1:37" ht="30" customHeight="1" x14ac:dyDescent="0.2">
      <c r="A8" t="s">
        <v>42</v>
      </c>
      <c r="D8" s="1" t="s">
        <v>63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2">
        <f>SUM(April[[#This Row],[1]:[29]])</f>
        <v>0</v>
      </c>
      <c r="AJ8" s="1">
        <f>April[[#This Row],[Totaal aantal km]]*0.4</f>
        <v>0</v>
      </c>
      <c r="AK8" s="10"/>
    </row>
    <row r="9" spans="1:37" ht="30" customHeight="1" x14ac:dyDescent="0.2">
      <c r="A9" t="s">
        <v>73</v>
      </c>
      <c r="D9" s="1" t="s">
        <v>75</v>
      </c>
      <c r="AI9" s="8">
        <f>SUM(April[[#This Row],[1]:[29]])</f>
        <v>0</v>
      </c>
      <c r="AJ9" s="1">
        <f>April[[#This Row],[Totaal aantal km]]*0.4</f>
        <v>0</v>
      </c>
      <c r="AK9" s="10"/>
    </row>
    <row r="10" spans="1:37" ht="30" customHeight="1" x14ac:dyDescent="0.2">
      <c r="A10" t="s">
        <v>64</v>
      </c>
      <c r="D10" s="1" t="s">
        <v>65</v>
      </c>
      <c r="AI10" s="8">
        <f>SUM(April[[#This Row],[1]:[29]])</f>
        <v>0</v>
      </c>
      <c r="AJ10" s="1">
        <f>April[[#This Row],[Totaal aantal km]]*0.4</f>
        <v>0</v>
      </c>
      <c r="AK10" s="10"/>
    </row>
    <row r="11" spans="1:37" ht="30" customHeight="1" x14ac:dyDescent="0.2">
      <c r="A11" t="s">
        <v>69</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2">
        <f>SUM(April[[#This Row],[1]:[29]])</f>
        <v>0</v>
      </c>
      <c r="AJ11" s="1">
        <f>April[[#This Row],[Totaal aantal km]]*0.4</f>
        <v>0</v>
      </c>
      <c r="AK11" s="10"/>
    </row>
    <row r="12" spans="1:37" ht="30" customHeight="1" thickBot="1" x14ac:dyDescent="0.25">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t="s">
        <v>57</v>
      </c>
      <c r="AJ12" s="16">
        <f>SUM(AJ6:AJ11)</f>
        <v>0</v>
      </c>
      <c r="AK12" s="10"/>
    </row>
  </sheetData>
  <mergeCells count="1">
    <mergeCell ref="E3:AH3"/>
  </mergeCells>
  <phoneticPr fontId="18" type="noConversion"/>
  <conditionalFormatting sqref="E6:AH11">
    <cfRule type="expression" priority="1" stopIfTrue="1">
      <formula>E6=""</formula>
    </cfRule>
    <cfRule type="expression" dxfId="44" priority="2" stopIfTrue="1">
      <formula>E6=KeyCustom2</formula>
    </cfRule>
    <cfRule type="expression" dxfId="43" priority="3" stopIfTrue="1">
      <formula>E6=KeyCustom1</formula>
    </cfRule>
    <cfRule type="expression" dxfId="42" priority="4" stopIfTrue="1">
      <formula>E6=KeySick</formula>
    </cfRule>
    <cfRule type="expression" dxfId="41" priority="5" stopIfTrue="1">
      <formula>E6=KeyPersonal</formula>
    </cfRule>
    <cfRule type="expression" dxfId="40" priority="6" stopIfTrue="1">
      <formula>E6=KeyVacation</formula>
    </cfRule>
  </conditionalFormatting>
  <conditionalFormatting sqref="AI6:AI11">
    <cfRule type="dataBar" priority="345">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8">
    <dataValidation allowBlank="1" showInputMessage="1" showErrorMessage="1" prompt="Automatisch bijgewerkt jaar op basis van het jaar dat in het werkblad januari is ingevoerd" sqref="AI3" xr:uid="{00000000-0002-0000-0300-000000000000}"/>
    <dataValidation allowBlank="1" showInputMessage="1" showErrorMessage="1" prompt="Berekent automatisch het totaal aantal dagen die een werknemer in deze maand niet aanwezig was in deze kolom" sqref="AI5" xr:uid="{00000000-0002-0000-0300-000001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300-000003000000}"/>
    <dataValidation allowBlank="1" showInputMessage="1" showErrorMessage="1" prompt="De titel wordt automatisch bijgewerkt in deze cel. Als u de titel wilt wijzigen, werk B1 in het januari-werkblad bij" sqref="A1:D1" xr:uid="{00000000-0002-0000-0300-000004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300-00000B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300-00000C000000}"/>
    <dataValidation allowBlank="1" showInputMessage="1" showErrorMessage="1" prompt="De titel van het werkblad bevindt zich in deze cel. Werk de titel bij en de wijzigingen worden automatisch overgenomen door elk werkblad" sqref="AK1" xr:uid="{02E68768-8D48-4523-8F83-D20027F3B7CF}"/>
    <dataValidation allowBlank="1" showInputMessage="1" showErrorMessage="1" prompt="Weekdagen in deze rij worden automatisch bijgewerkt voor de maand, overeenkomstig het jaar dat is ingevoerd in AH4. Elke dag van de maand is een kolom om het verzuim en type verzuim van een werknemer te noteren" sqref="E4" xr:uid="{61D646E2-B272-44C0-A644-D9FFFFC6B9CC}"/>
  </dataValidations>
  <printOptions horizontalCentered="1"/>
  <pageMargins left="0.25" right="0.25" top="0.75" bottom="0.75" header="0.3" footer="0.3"/>
  <pageSetup paperSize="9" scale="59"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AI6:AI11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theme="2" tint="-9.9978637043366805E-2"/>
    <pageSetUpPr fitToPage="1"/>
  </sheetPr>
  <dimension ref="A1:AL12"/>
  <sheetViews>
    <sheetView showGridLines="0" topLeftCell="A2" zoomScaleNormal="100" workbookViewId="0">
      <selection activeCell="E6" sqref="E6:AI11"/>
    </sheetView>
  </sheetViews>
  <sheetFormatPr baseColWidth="10" defaultColWidth="8.83203125" defaultRowHeight="30" customHeight="1" x14ac:dyDescent="0.2"/>
  <cols>
    <col min="1" max="1" width="21.5" style="1"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17" t="str">
        <f>Employee_Absence_Title</f>
        <v>Kilometer werknemers</v>
      </c>
      <c r="B1" s="17"/>
      <c r="C1" s="17"/>
      <c r="D1" s="17"/>
    </row>
    <row r="2" spans="1:38" ht="15" customHeight="1" x14ac:dyDescent="0.2">
      <c r="A2" s="17"/>
      <c r="B2" s="17"/>
      <c r="C2" s="17"/>
      <c r="D2" s="17"/>
    </row>
    <row r="3" spans="1:38" ht="30" customHeight="1" x14ac:dyDescent="0.2">
      <c r="A3" s="3" t="s">
        <v>48</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
      <c r="A4" s="3"/>
      <c r="B4" s="3"/>
      <c r="C4" s="3"/>
      <c r="D4" s="3"/>
      <c r="E4" s="1" t="str">
        <f>TEXT(WEEKDAY(DATE(CalendarYear,5,1),1),"aaa")</f>
        <v>do</v>
      </c>
      <c r="F4" s="1" t="str">
        <f>TEXT(WEEKDAY(DATE(CalendarYear,1,10),1),"aaa")</f>
        <v>vr</v>
      </c>
      <c r="G4" s="1" t="str">
        <f>TEXT(WEEKDAY(DATE(CalendarYear,1,4),1),"aaa")</f>
        <v>za</v>
      </c>
      <c r="H4" s="1" t="str">
        <f>TEXT(WEEKDAY(DATE(CalendarYear,1,5),1),"aaa")</f>
        <v>zo</v>
      </c>
      <c r="I4" s="1" t="str">
        <f>TEXT(WEEKDAY(DATE(CalendarYear,1,6),1),"aaa")</f>
        <v>ma</v>
      </c>
      <c r="J4" s="1" t="str">
        <f>TEXT(WEEKDAY(DATE(CalendarYear,1,7),1),"aaa")</f>
        <v>di</v>
      </c>
      <c r="K4" s="1" t="str">
        <f>TEXT(WEEKDAY(DATE(CalendarYear,1,8),1),"aaa")</f>
        <v>wo</v>
      </c>
      <c r="L4" s="1" t="str">
        <f>TEXT(WEEKDAY(DATE(CalendarYear,1,9),1),"aaa")</f>
        <v>do</v>
      </c>
      <c r="M4" s="1" t="str">
        <f>TEXT(WEEKDAY(DATE(CalendarYear,1,10),1),"aaa")</f>
        <v>vr</v>
      </c>
      <c r="N4" s="1" t="str">
        <f>TEXT(WEEKDAY(DATE(CalendarYear,1,11),1),"aaa")</f>
        <v>za</v>
      </c>
      <c r="O4" s="1" t="str">
        <f>TEXT(WEEKDAY(DATE(CalendarYear,1,12),1),"aaa")</f>
        <v>zo</v>
      </c>
      <c r="P4" s="1" t="str">
        <f>TEXT(WEEKDAY(DATE(CalendarYear,1,13),1),"aaa")</f>
        <v>ma</v>
      </c>
      <c r="Q4" s="1" t="str">
        <f>TEXT(WEEKDAY(DATE(CalendarYear,1,14),1),"aaa")</f>
        <v>di</v>
      </c>
      <c r="R4" s="1" t="str">
        <f>TEXT(WEEKDAY(DATE(CalendarYear,1,15),1),"aaa")</f>
        <v>wo</v>
      </c>
      <c r="S4" s="1" t="str">
        <f>TEXT(WEEKDAY(DATE(CalendarYear,1,16),1),"aaa")</f>
        <v>do</v>
      </c>
      <c r="T4" s="1" t="str">
        <f>TEXT(WEEKDAY(DATE(CalendarYear,1,17),1),"aaa")</f>
        <v>vr</v>
      </c>
      <c r="U4" s="1" t="str">
        <f>TEXT(WEEKDAY(DATE(CalendarYear,1,18),1),"aaa")</f>
        <v>za</v>
      </c>
      <c r="V4" s="1" t="str">
        <f>TEXT(WEEKDAY(DATE(CalendarYear,1,19),1),"aaa")</f>
        <v>zo</v>
      </c>
      <c r="W4" s="1" t="str">
        <f>TEXT(WEEKDAY(DATE(CalendarYear,1,20),1),"aaa")</f>
        <v>ma</v>
      </c>
      <c r="X4" s="1" t="str">
        <f>TEXT(WEEKDAY(DATE(CalendarYear,1,21),1),"aaa")</f>
        <v>di</v>
      </c>
      <c r="Y4" s="1" t="str">
        <f>TEXT(WEEKDAY(DATE(CalendarYear,1,22),1),"aaa")</f>
        <v>wo</v>
      </c>
      <c r="Z4" s="1" t="str">
        <f>TEXT(WEEKDAY(DATE(CalendarYear,1,23),1),"aaa")</f>
        <v>do</v>
      </c>
      <c r="AA4" s="1" t="str">
        <f>TEXT(WEEKDAY(DATE(CalendarYear,1,24),1),"aaa")</f>
        <v>vr</v>
      </c>
      <c r="AB4" s="1" t="str">
        <f>TEXT(WEEKDAY(DATE(CalendarYear,1,25),1),"aaa")</f>
        <v>za</v>
      </c>
      <c r="AC4" s="1" t="str">
        <f>TEXT(WEEKDAY(DATE(CalendarYear,1,26),1),"aaa")</f>
        <v>zo</v>
      </c>
      <c r="AD4" s="1" t="str">
        <f>TEXT(WEEKDAY(DATE(CalendarYear,1,27),1),"aaa")</f>
        <v>ma</v>
      </c>
      <c r="AE4" s="1" t="str">
        <f>TEXT(WEEKDAY(DATE(CalendarYear,1,28),1),"aaa")</f>
        <v>di</v>
      </c>
      <c r="AF4" s="1" t="str">
        <f>TEXT(WEEKDAY(DATE(CalendarYear,1,29),1),"aaa")</f>
        <v>wo</v>
      </c>
      <c r="AG4" s="1" t="str">
        <f>TEXT(WEEKDAY(DATE(CalendarYear,1,23),1),"aaa")</f>
        <v>do</v>
      </c>
      <c r="AH4" s="1" t="str">
        <f>TEXT(WEEKDAY(DATE(CalendarYear,1,24),1),"aaa")</f>
        <v>vr</v>
      </c>
      <c r="AI4" s="1" t="str">
        <f>TEXT(WEEKDAY(DATE(CalendarYear,1,25),1),"aaa")</f>
        <v>za</v>
      </c>
      <c r="AJ4" s="3"/>
      <c r="AK4" s="11" t="s">
        <v>2</v>
      </c>
      <c r="AL4" s="3"/>
    </row>
    <row r="5" spans="1:38" ht="15" customHeight="1" x14ac:dyDescent="0.2">
      <c r="A5" s="2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
      <c r="A6" t="s">
        <v>43</v>
      </c>
      <c r="D6" s="1" t="s">
        <v>61</v>
      </c>
      <c r="AJ6" s="8">
        <f>SUM(Mei[[#This Row],[1]:[31]])</f>
        <v>0</v>
      </c>
      <c r="AK6" s="1">
        <f>Mei[[#This Row],[Totaal aantal km]]*0.4</f>
        <v>0</v>
      </c>
      <c r="AL6" s="10"/>
    </row>
    <row r="7" spans="1:38" ht="30" customHeight="1" x14ac:dyDescent="0.2">
      <c r="A7" t="s">
        <v>73</v>
      </c>
      <c r="D7" s="1" t="s">
        <v>74</v>
      </c>
      <c r="AJ7" s="8">
        <f>SUM(Mei[[#This Row],[1]:[31]])</f>
        <v>0</v>
      </c>
      <c r="AK7" s="1">
        <f>Mei[[#This Row],[Totaal aantal km]]*0.4</f>
        <v>0</v>
      </c>
      <c r="AL7" s="10"/>
    </row>
    <row r="8" spans="1:38" ht="30" customHeight="1" x14ac:dyDescent="0.2">
      <c r="A8" t="s">
        <v>42</v>
      </c>
      <c r="D8" s="1" t="s">
        <v>63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2">
        <f>SUM(Mei[[#This Row],[1]:[31]])</f>
        <v>0</v>
      </c>
      <c r="AK8" s="1">
        <f>Mei[[#This Row],[Totaal aantal km]]*0.4</f>
        <v>0</v>
      </c>
      <c r="AL8" s="10"/>
    </row>
    <row r="9" spans="1:38" ht="30" customHeight="1" x14ac:dyDescent="0.2">
      <c r="A9" t="s">
        <v>41</v>
      </c>
      <c r="D9" s="1" t="s">
        <v>68</v>
      </c>
      <c r="E9" s="1"/>
      <c r="F9" s="1"/>
      <c r="G9" s="1"/>
      <c r="AJ9" s="8">
        <f>SUM(Mei[[#This Row],[1]:[31]])</f>
        <v>0</v>
      </c>
      <c r="AK9" s="1">
        <f>Mei[[#This Row],[Totaal aantal km]]*0.4</f>
        <v>0</v>
      </c>
      <c r="AL9" s="10"/>
    </row>
    <row r="10" spans="1:38" ht="30" customHeight="1" x14ac:dyDescent="0.2">
      <c r="A10" s="25" t="s">
        <v>40</v>
      </c>
      <c r="D10" s="1" t="s">
        <v>62</v>
      </c>
      <c r="E10" s="1"/>
      <c r="F10" s="1"/>
      <c r="G10" s="1"/>
      <c r="AJ10" s="8">
        <f>SUM(Mei[[#This Row],[1]:[31]])</f>
        <v>0</v>
      </c>
      <c r="AK10" s="1"/>
      <c r="AL10" s="10"/>
    </row>
    <row r="11" spans="1:38" ht="30" customHeight="1" x14ac:dyDescent="0.2">
      <c r="A11" t="s">
        <v>69</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2">
        <f>SUM(Mei[[#This Row],[1]:[31]])</f>
        <v>0</v>
      </c>
      <c r="AK11" s="1">
        <f>Mei[[#This Row],[Totaal aantal km]]*0.4</f>
        <v>0</v>
      </c>
      <c r="AL11" s="10"/>
    </row>
    <row r="12" spans="1:38" ht="30" customHeight="1" thickBot="1" x14ac:dyDescent="0.25">
      <c r="A12" s="2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6">
        <f>SUM(AK6:AK11)</f>
        <v>0</v>
      </c>
      <c r="AL12" s="10"/>
    </row>
  </sheetData>
  <mergeCells count="1">
    <mergeCell ref="E3:AI3"/>
  </mergeCells>
  <phoneticPr fontId="18" type="noConversion"/>
  <conditionalFormatting sqref="E6:AI11">
    <cfRule type="expression" priority="1" stopIfTrue="1">
      <formula>E6=""</formula>
    </cfRule>
    <cfRule type="expression" dxfId="39" priority="2" stopIfTrue="1">
      <formula>E6=KeyCustom2</formula>
    </cfRule>
    <cfRule type="expression" dxfId="38" priority="3" stopIfTrue="1">
      <formula>E6=KeyCustom1</formula>
    </cfRule>
    <cfRule type="expression" dxfId="37" priority="4" stopIfTrue="1">
      <formula>E6=KeySick</formula>
    </cfRule>
    <cfRule type="expression" dxfId="36" priority="5" stopIfTrue="1">
      <formula>E6=KeyPersonal</formula>
    </cfRule>
    <cfRule type="expression" dxfId="35" priority="6" stopIfTrue="1">
      <formula>E6=KeyVacation</formula>
    </cfRule>
  </conditionalFormatting>
  <conditionalFormatting sqref="AJ6:AJ11">
    <cfRule type="dataBar" priority="463">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6">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4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400-000001000000}"/>
    <dataValidation allowBlank="1" showInputMessage="1" showErrorMessage="1" prompt="De titel wordt automatisch bijgewerkt in deze cel. Als u de titel wilt wijzigen, werk B1 in het januari-werkblad bij" sqref="A1:D1" xr:uid="{00000000-0002-0000-04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400-000009000000}"/>
    <dataValidation allowBlank="1" showInputMessage="1" showErrorMessage="1" prompt="Berekent automatisch het totaal aantal dagen die een werknemer in deze maand niet aanwezig was in deze kolom" sqref="AJ5" xr:uid="{00000000-0002-0000-0400-00000B000000}"/>
    <dataValidation allowBlank="1" showInputMessage="1" showErrorMessage="1" prompt="Automatisch bijgewerkt jaar op basis van het jaar dat in het werkblad januari is ingevoerd" sqref="AJ3" xr:uid="{00000000-0002-0000-0400-00000C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AJ6:AJ11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theme="2"/>
    <pageSetUpPr fitToPage="1"/>
  </sheetPr>
  <dimension ref="A1:AK12"/>
  <sheetViews>
    <sheetView showGridLines="0" zoomScaleNormal="100" workbookViewId="0">
      <selection activeCell="E6" sqref="E6:AH11"/>
    </sheetView>
  </sheetViews>
  <sheetFormatPr baseColWidth="10" defaultColWidth="8.83203125" defaultRowHeight="30" customHeight="1" x14ac:dyDescent="0.2"/>
  <cols>
    <col min="1" max="1" width="21.5" customWidth="1"/>
    <col min="2" max="2" width="15.83203125" style="1" bestFit="1" customWidth="1"/>
    <col min="3" max="3" width="14.6640625" style="1" bestFit="1" customWidth="1"/>
    <col min="4" max="4" width="13.5" style="1" bestFit="1" customWidth="1"/>
    <col min="5" max="34" width="4.33203125" customWidth="1"/>
    <col min="35" max="35" width="15.5" bestFit="1" customWidth="1"/>
    <col min="36" max="36" width="14.83203125" bestFit="1" customWidth="1"/>
    <col min="37" max="37" width="16.6640625" bestFit="1" customWidth="1"/>
  </cols>
  <sheetData>
    <row r="1" spans="1:37" ht="50" customHeight="1" x14ac:dyDescent="0.2">
      <c r="A1" s="4" t="str">
        <f>Employee_Absence_Title</f>
        <v>Kilometer werknemers</v>
      </c>
      <c r="B1" s="17"/>
      <c r="C1" s="17"/>
      <c r="D1" s="17"/>
    </row>
    <row r="2" spans="1:37" ht="15" customHeight="1" x14ac:dyDescent="0.2">
      <c r="A2" s="4"/>
      <c r="B2" s="17"/>
      <c r="C2" s="17"/>
      <c r="D2" s="17"/>
    </row>
    <row r="3" spans="1:37" ht="30" customHeight="1" x14ac:dyDescent="0.2">
      <c r="A3" s="3" t="s">
        <v>49</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
      <c r="A4" s="3"/>
      <c r="B4" s="3"/>
      <c r="C4" s="3"/>
      <c r="D4" s="3"/>
      <c r="E4" s="1" t="str">
        <f>TEXT(WEEKDAY(DATE(CalendarYear,6,1),1),"aaa")</f>
        <v>zo</v>
      </c>
      <c r="F4" s="1" t="str">
        <f>TEXT(WEEKDAY(DATE(CalendarYear,6,2),1),"aaa")</f>
        <v>ma</v>
      </c>
      <c r="G4" s="1" t="str">
        <f>TEXT(WEEKDAY(DATE(CalendarYear,6,3),1),"aaa")</f>
        <v>di</v>
      </c>
      <c r="H4" s="1" t="str">
        <f>TEXT(WEEKDAY(DATE(CalendarYear,6,4),1),"aaa")</f>
        <v>wo</v>
      </c>
      <c r="I4" s="1" t="str">
        <f>TEXT(WEEKDAY(DATE(CalendarYear,6,5),1),"aaa")</f>
        <v>do</v>
      </c>
      <c r="J4" s="1" t="str">
        <f>TEXT(WEEKDAY(DATE(CalendarYear,6,6),1),"aaa")</f>
        <v>vr</v>
      </c>
      <c r="K4" s="1" t="str">
        <f>TEXT(WEEKDAY(DATE(CalendarYear,6,7),1),"aaa")</f>
        <v>za</v>
      </c>
      <c r="L4" s="1" t="str">
        <f>TEXT(WEEKDAY(DATE(CalendarYear,6,8),1),"aaa")</f>
        <v>zo</v>
      </c>
      <c r="M4" s="1" t="str">
        <f>TEXT(WEEKDAY(DATE(CalendarYear,6,2),1),"aaa")</f>
        <v>ma</v>
      </c>
      <c r="N4" s="1" t="str">
        <f>TEXT(WEEKDAY(DATE(CalendarYear,6,3),1),"aaa")</f>
        <v>di</v>
      </c>
      <c r="O4" s="1" t="str">
        <f>TEXT(WEEKDAY(DATE(CalendarYear,6,4),1),"aaa")</f>
        <v>wo</v>
      </c>
      <c r="P4" s="1" t="str">
        <f>TEXT(WEEKDAY(DATE(CalendarYear,6,5),1),"aaa")</f>
        <v>do</v>
      </c>
      <c r="Q4" s="1" t="str">
        <f>TEXT(WEEKDAY(DATE(CalendarYear,6,6),1),"aaa")</f>
        <v>vr</v>
      </c>
      <c r="R4" s="1" t="str">
        <f>TEXT(WEEKDAY(DATE(CalendarYear,6,7),1),"aaa")</f>
        <v>za</v>
      </c>
      <c r="S4" s="1" t="str">
        <f>TEXT(WEEKDAY(DATE(CalendarYear,6,8),1),"aaa")</f>
        <v>zo</v>
      </c>
      <c r="T4" s="1" t="str">
        <f>TEXT(WEEKDAY(DATE(CalendarYear,6,2),1),"aaa")</f>
        <v>ma</v>
      </c>
      <c r="U4" s="1" t="str">
        <f>TEXT(WEEKDAY(DATE(CalendarYear,6,3),1),"aaa")</f>
        <v>di</v>
      </c>
      <c r="V4" s="1" t="str">
        <f>TEXT(WEEKDAY(DATE(CalendarYear,6,4),1),"aaa")</f>
        <v>wo</v>
      </c>
      <c r="W4" s="1" t="str">
        <f>TEXT(WEEKDAY(DATE(CalendarYear,6,5),1),"aaa")</f>
        <v>do</v>
      </c>
      <c r="X4" s="1" t="str">
        <f>TEXT(WEEKDAY(DATE(CalendarYear,6,6),1),"aaa")</f>
        <v>vr</v>
      </c>
      <c r="Y4" s="1" t="str">
        <f>TEXT(WEEKDAY(DATE(CalendarYear,6,7),1),"aaa")</f>
        <v>za</v>
      </c>
      <c r="Z4" s="1" t="str">
        <f>TEXT(WEEKDAY(DATE(CalendarYear,6,8),1),"aaa")</f>
        <v>zo</v>
      </c>
      <c r="AA4" s="1" t="str">
        <f>TEXT(WEEKDAY(DATE(CalendarYear,6,2),1),"aaa")</f>
        <v>ma</v>
      </c>
      <c r="AB4" s="1" t="str">
        <f>TEXT(WEEKDAY(DATE(CalendarYear,6,3),1),"aaa")</f>
        <v>di</v>
      </c>
      <c r="AC4" s="1" t="str">
        <f>TEXT(WEEKDAY(DATE(CalendarYear,6,4),1),"aaa")</f>
        <v>wo</v>
      </c>
      <c r="AD4" s="1" t="str">
        <f>TEXT(WEEKDAY(DATE(CalendarYear,6,5),1),"aaa")</f>
        <v>do</v>
      </c>
      <c r="AE4" s="1" t="str">
        <f>TEXT(WEEKDAY(DATE(CalendarYear,6,6),1),"aaa")</f>
        <v>vr</v>
      </c>
      <c r="AF4" s="1" t="str">
        <f>TEXT(WEEKDAY(DATE(CalendarYear,6,7),1),"aaa")</f>
        <v>za</v>
      </c>
      <c r="AG4" s="1" t="str">
        <f>TEXT(WEEKDAY(DATE(CalendarYear,6,8),1),"aaa")</f>
        <v>zo</v>
      </c>
      <c r="AH4" s="1" t="str">
        <f>TEXT(WEEKDAY(DATE(CalendarYear,6,2),1),"aaa")</f>
        <v>ma</v>
      </c>
      <c r="AI4" s="3"/>
      <c r="AJ4" s="11" t="s">
        <v>2</v>
      </c>
      <c r="AK4" s="3"/>
    </row>
    <row r="5" spans="1:37"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
      <c r="A6" t="s">
        <v>43</v>
      </c>
      <c r="D6" s="1" t="s">
        <v>61</v>
      </c>
      <c r="AI6" s="8">
        <f>SUM(Juni[[#This Row],[1]:[30]])</f>
        <v>0</v>
      </c>
      <c r="AJ6" s="1">
        <f>Juni[[#This Row],[Totaal aantal km]]*0.4</f>
        <v>0</v>
      </c>
      <c r="AK6" s="10"/>
    </row>
    <row r="7" spans="1:37" ht="30" customHeight="1" x14ac:dyDescent="0.2">
      <c r="A7" t="s">
        <v>73</v>
      </c>
      <c r="D7" s="1" t="s">
        <v>74</v>
      </c>
      <c r="AI7" s="8">
        <f>SUM(Juni[[#This Row],[1]:[30]])</f>
        <v>0</v>
      </c>
      <c r="AJ7" s="1">
        <f>Juni[[#This Row],[Totaal aantal km]]*0.4</f>
        <v>0</v>
      </c>
      <c r="AK7" s="10"/>
    </row>
    <row r="8" spans="1:37" ht="30" customHeight="1" x14ac:dyDescent="0.2">
      <c r="A8" t="s">
        <v>42</v>
      </c>
      <c r="D8" s="1" t="s">
        <v>63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2">
        <f>SUM(Juni[[#This Row],[1]:[30]])</f>
        <v>0</v>
      </c>
      <c r="AJ8" s="1">
        <f>Juni[[#This Row],[Totaal aantal km]]*0.4</f>
        <v>0</v>
      </c>
      <c r="AK8" s="10"/>
    </row>
    <row r="9" spans="1:37" ht="30" customHeight="1" x14ac:dyDescent="0.2">
      <c r="A9" s="26" t="s">
        <v>40</v>
      </c>
      <c r="D9" s="1" t="s">
        <v>62</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2">
        <f>SUM(Juni[[#This Row],[1]:[30]])</f>
        <v>0</v>
      </c>
      <c r="AJ9" s="1">
        <f>Juni[[#This Row],[Totaal aantal km]]*0.4</f>
        <v>0</v>
      </c>
      <c r="AK9" s="10"/>
    </row>
    <row r="10" spans="1:37" ht="30" customHeight="1" x14ac:dyDescent="0.2">
      <c r="A10" t="s">
        <v>41</v>
      </c>
      <c r="D10" s="1" t="s">
        <v>68</v>
      </c>
      <c r="AI10" s="8">
        <f>SUM(Juni[[#This Row],[1]:[30]])</f>
        <v>0</v>
      </c>
      <c r="AJ10" s="1">
        <f>Juni[[#This Row],[Totaal aantal km]]*0.4</f>
        <v>0</v>
      </c>
      <c r="AK10" s="10"/>
    </row>
    <row r="11" spans="1:37" ht="30" customHeight="1" x14ac:dyDescent="0.2">
      <c r="A11" t="s">
        <v>69</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2">
        <f>SUM(Juni[[#This Row],[1]:[30]])</f>
        <v>0</v>
      </c>
      <c r="AJ11" s="1">
        <f>Juni[[#This Row],[Totaal aantal km]]*0.4</f>
        <v>0</v>
      </c>
      <c r="AK11" s="10"/>
    </row>
    <row r="12" spans="1:37" ht="30" customHeight="1" thickBot="1" x14ac:dyDescent="0.25">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t="s">
        <v>57</v>
      </c>
      <c r="AJ12" s="16">
        <f>SUM(AJ6:AJ11)</f>
        <v>0</v>
      </c>
      <c r="AK12" s="10"/>
    </row>
  </sheetData>
  <mergeCells count="1">
    <mergeCell ref="E3:AH3"/>
  </mergeCells>
  <phoneticPr fontId="18" type="noConversion"/>
  <conditionalFormatting sqref="E6:AH11">
    <cfRule type="expression" priority="1" stopIfTrue="1">
      <formula>E6=""</formula>
    </cfRule>
    <cfRule type="expression" dxfId="34" priority="2" stopIfTrue="1">
      <formula>E6=KeyCustom2</formula>
    </cfRule>
    <cfRule type="expression" dxfId="33" priority="3" stopIfTrue="1">
      <formula>E6=KeyCustom1</formula>
    </cfRule>
    <cfRule type="expression" dxfId="32" priority="4" stopIfTrue="1">
      <formula>E6=KeySick</formula>
    </cfRule>
    <cfRule type="expression" dxfId="31" priority="5" stopIfTrue="1">
      <formula>E6=KeyPersonal</formula>
    </cfRule>
    <cfRule type="expression" dxfId="30" priority="6" stopIfTrue="1">
      <formula>E6=KeyVacation</formula>
    </cfRule>
  </conditionalFormatting>
  <conditionalFormatting sqref="AI6:AI11">
    <cfRule type="dataBar" priority="476">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xr:uid="{00000000-0002-0000-0500-000000000000}"/>
    <dataValidation allowBlank="1" showInputMessage="1" showErrorMessage="1" prompt="Automatisch bijgewerkt jaar op basis van het jaar dat in het werkblad januari is ingevoerd" sqref="AI3" xr:uid="{00000000-0002-0000-0500-000001000000}"/>
    <dataValidation allowBlank="1" showInputMessage="1" showErrorMessage="1" prompt="Berekent automatisch het totaal aantal dagen die een werknemer in deze maand niet aanwezig was in deze kolom" sqref="AI5" xr:uid="{00000000-0002-0000-05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500-000004000000}"/>
    <dataValidation allowBlank="1" showInputMessage="1" showErrorMessage="1" prompt="De titel wordt automatisch bijgewerkt in deze cel. Als u de titel wilt wijzigen, werk B1 in het januari-werkblad bij" sqref="A1:D1" xr:uid="{00000000-0002-0000-05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5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500-00000D000000}"/>
  </dataValidations>
  <printOptions horizontalCentered="1"/>
  <pageMargins left="0.25" right="0.25" top="0.75" bottom="0.75" header="0.3" footer="0.3"/>
  <pageSetup paperSize="9" scale="59"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AI6:AI11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tabColor theme="1"/>
    <pageSetUpPr fitToPage="1"/>
  </sheetPr>
  <dimension ref="A1:AL10"/>
  <sheetViews>
    <sheetView showGridLines="0" zoomScaleNormal="100" workbookViewId="0">
      <selection activeCell="E6" sqref="E6:AI9"/>
    </sheetView>
  </sheetViews>
  <sheetFormatPr baseColWidth="10" defaultColWidth="8.83203125" defaultRowHeight="30" customHeight="1" x14ac:dyDescent="0.2"/>
  <cols>
    <col min="1" max="1" width="21.1640625"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row>
    <row r="2" spans="1:38" ht="15" customHeight="1" x14ac:dyDescent="0.2">
      <c r="A2" s="4"/>
      <c r="B2" s="17"/>
      <c r="C2" s="17"/>
      <c r="D2" s="17"/>
    </row>
    <row r="3" spans="1:38" ht="30" customHeight="1" x14ac:dyDescent="0.2">
      <c r="A3" s="3" t="s">
        <v>50</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
      <c r="A4" s="3"/>
      <c r="B4" s="3"/>
      <c r="C4" s="3"/>
      <c r="D4" s="3"/>
      <c r="E4" s="1" t="str">
        <f>TEXT(WEEKDAY(DATE(CalendarYear,7,1),1),"aaa")</f>
        <v>di</v>
      </c>
      <c r="F4" s="1" t="str">
        <f>TEXT(WEEKDAY(DATE(CalendarYear,7,2),1),"aaa")</f>
        <v>wo</v>
      </c>
      <c r="G4" s="1" t="str">
        <f>TEXT(WEEKDAY(DATE(CalendarYear,7,3),1),"aaa")</f>
        <v>do</v>
      </c>
      <c r="H4" s="1" t="str">
        <f>TEXT(WEEKDAY(DATE(CalendarYear,7,4),1),"aaa")</f>
        <v>vr</v>
      </c>
      <c r="I4" s="1" t="str">
        <f>TEXT(WEEKDAY(DATE(CalendarYear,7,5),1),"aaa")</f>
        <v>za</v>
      </c>
      <c r="J4" s="1" t="str">
        <f>TEXT(WEEKDAY(DATE(CalendarYear,7,6),1),"aaa")</f>
        <v>zo</v>
      </c>
      <c r="K4" s="1" t="str">
        <f>TEXT(WEEKDAY(DATE(CalendarYear,7,7),1),"aaa")</f>
        <v>ma</v>
      </c>
      <c r="L4" s="1" t="str">
        <f>TEXT(WEEKDAY(DATE(CalendarYear,7,1),1),"aaa")</f>
        <v>di</v>
      </c>
      <c r="M4" s="1" t="str">
        <f>TEXT(WEEKDAY(DATE(CalendarYear,7,2),1),"aaa")</f>
        <v>wo</v>
      </c>
      <c r="N4" s="1" t="str">
        <f>TEXT(WEEKDAY(DATE(CalendarYear,7,3),1),"aaa")</f>
        <v>do</v>
      </c>
      <c r="O4" s="1" t="str">
        <f>TEXT(WEEKDAY(DATE(CalendarYear,7,4),1),"aaa")</f>
        <v>vr</v>
      </c>
      <c r="P4" s="1" t="str">
        <f>TEXT(WEEKDAY(DATE(CalendarYear,7,5),1),"aaa")</f>
        <v>za</v>
      </c>
      <c r="Q4" s="1" t="str">
        <f>TEXT(WEEKDAY(DATE(CalendarYear,7,6),1),"aaa")</f>
        <v>zo</v>
      </c>
      <c r="R4" s="1" t="str">
        <f>TEXT(WEEKDAY(DATE(CalendarYear,7,7),1),"aaa")</f>
        <v>ma</v>
      </c>
      <c r="S4" s="1" t="str">
        <f>TEXT(WEEKDAY(DATE(CalendarYear,7,1),1),"aaa")</f>
        <v>di</v>
      </c>
      <c r="T4" s="1" t="str">
        <f>TEXT(WEEKDAY(DATE(CalendarYear,7,2),1),"aaa")</f>
        <v>wo</v>
      </c>
      <c r="U4" s="1" t="str">
        <f>TEXT(WEEKDAY(DATE(CalendarYear,7,3),1),"aaa")</f>
        <v>do</v>
      </c>
      <c r="V4" s="1" t="str">
        <f>TEXT(WEEKDAY(DATE(CalendarYear,7,4),1),"aaa")</f>
        <v>vr</v>
      </c>
      <c r="W4" s="1" t="str">
        <f>TEXT(WEEKDAY(DATE(CalendarYear,7,5),1),"aaa")</f>
        <v>za</v>
      </c>
      <c r="X4" s="1" t="str">
        <f>TEXT(WEEKDAY(DATE(CalendarYear,7,6),1),"aaa")</f>
        <v>zo</v>
      </c>
      <c r="Y4" s="1" t="str">
        <f>TEXT(WEEKDAY(DATE(CalendarYear,7,7),1),"aaa")</f>
        <v>ma</v>
      </c>
      <c r="Z4" s="1" t="str">
        <f>TEXT(WEEKDAY(DATE(CalendarYear,7,1),1),"aaa")</f>
        <v>di</v>
      </c>
      <c r="AA4" s="1" t="str">
        <f>TEXT(WEEKDAY(DATE(CalendarYear,7,2),1),"aaa")</f>
        <v>wo</v>
      </c>
      <c r="AB4" s="1" t="str">
        <f>TEXT(WEEKDAY(DATE(CalendarYear,7,3),1),"aaa")</f>
        <v>do</v>
      </c>
      <c r="AC4" s="1" t="str">
        <f>TEXT(WEEKDAY(DATE(CalendarYear,7,4),1),"aaa")</f>
        <v>vr</v>
      </c>
      <c r="AD4" s="1" t="str">
        <f>TEXT(WEEKDAY(DATE(CalendarYear,7,5),1),"aaa")</f>
        <v>za</v>
      </c>
      <c r="AE4" s="1" t="str">
        <f>TEXT(WEEKDAY(DATE(CalendarYear,7,6),1),"aaa")</f>
        <v>zo</v>
      </c>
      <c r="AF4" s="1" t="str">
        <f>TEXT(WEEKDAY(DATE(CalendarYear,7,7),1),"aaa")</f>
        <v>ma</v>
      </c>
      <c r="AG4" s="1" t="str">
        <f>TEXT(WEEKDAY(DATE(CalendarYear,7,1),1),"aaa")</f>
        <v>di</v>
      </c>
      <c r="AH4" s="1" t="str">
        <f>TEXT(WEEKDAY(DATE(CalendarYear,7,2),1),"aaa")</f>
        <v>wo</v>
      </c>
      <c r="AI4" s="1" t="str">
        <f>TEXT(WEEKDAY(DATE(CalendarYear,7,3),1),"aaa")</f>
        <v>do</v>
      </c>
      <c r="AJ4" s="3"/>
      <c r="AK4" s="11" t="s">
        <v>2</v>
      </c>
      <c r="AL4" s="3"/>
    </row>
    <row r="5" spans="1:38"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
      <c r="A6" t="s">
        <v>73</v>
      </c>
      <c r="D6" s="1" t="s">
        <v>74</v>
      </c>
      <c r="AJ6" s="8">
        <f>SUM(Juli[[#This Row],[1]:[31]])</f>
        <v>0</v>
      </c>
      <c r="AK6" s="1">
        <f>Juli[[#This Row],[Totaal aantal km]]*0.4</f>
        <v>0</v>
      </c>
      <c r="AL6" s="10"/>
    </row>
    <row r="7" spans="1:38" ht="30" customHeight="1" x14ac:dyDescent="0.2">
      <c r="A7" t="s">
        <v>42</v>
      </c>
      <c r="D7" s="1" t="s">
        <v>63</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2">
        <f>SUM(Juli[[#This Row],[1]:[31]])</f>
        <v>0</v>
      </c>
      <c r="AK7" s="1">
        <f>Juli[[#This Row],[Totaal aantal km]]*0.4</f>
        <v>0</v>
      </c>
      <c r="AL7" s="10"/>
    </row>
    <row r="8" spans="1:38" ht="30" customHeight="1" x14ac:dyDescent="0.2">
      <c r="A8" t="s">
        <v>41</v>
      </c>
      <c r="D8" s="1" t="s">
        <v>68</v>
      </c>
      <c r="AJ8" s="8">
        <f>SUM(Juli[[#This Row],[1]:[31]])</f>
        <v>0</v>
      </c>
      <c r="AK8" s="1">
        <f>Juli[[#This Row],[Totaal aantal km]]*0.4</f>
        <v>0</v>
      </c>
      <c r="AL8" s="10"/>
    </row>
    <row r="9" spans="1:38" ht="30" customHeight="1" x14ac:dyDescent="0.2">
      <c r="A9" t="s">
        <v>69</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2">
        <f>SUM(Juli[[#This Row],[1]:[31]])</f>
        <v>0</v>
      </c>
      <c r="AK9" s="1">
        <f>Juli[[#This Row],[Totaal aantal km]]*0.4</f>
        <v>0</v>
      </c>
      <c r="AL9" s="10"/>
    </row>
    <row r="10" spans="1:38" ht="30" customHeight="1" thickBot="1" x14ac:dyDescent="0.25">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t="s">
        <v>57</v>
      </c>
      <c r="AK10" s="16">
        <f>SUM(AK6:AK9)</f>
        <v>0</v>
      </c>
      <c r="AL10" s="10"/>
    </row>
  </sheetData>
  <mergeCells count="1">
    <mergeCell ref="E3:AI3"/>
  </mergeCells>
  <phoneticPr fontId="18" type="noConversion"/>
  <conditionalFormatting sqref="E6:AI9">
    <cfRule type="expression" priority="1" stopIfTrue="1">
      <formula>E6=""</formula>
    </cfRule>
    <cfRule type="expression" dxfId="29" priority="2" stopIfTrue="1">
      <formula>E6=KeyCustom2</formula>
    </cfRule>
    <cfRule type="expression" dxfId="28" priority="3" stopIfTrue="1">
      <formula>E6=KeyCustom1</formula>
    </cfRule>
    <cfRule type="expression" dxfId="27" priority="4" stopIfTrue="1">
      <formula>E6=KeySick</formula>
    </cfRule>
    <cfRule type="expression" dxfId="26" priority="5" stopIfTrue="1">
      <formula>E6=KeyPersonal</formula>
    </cfRule>
    <cfRule type="expression" dxfId="25" priority="6" stopIfTrue="1">
      <formula>E6=KeyVacation</formula>
    </cfRule>
  </conditionalFormatting>
  <conditionalFormatting sqref="AJ6:AJ9">
    <cfRule type="dataBar" priority="509">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6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600-000001000000}"/>
    <dataValidation allowBlank="1" showInputMessage="1" showErrorMessage="1" prompt="De titel wordt automatisch bijgewerkt in deze cel. Als u de titel wilt wijzigen, werk B1 in het januari-werkblad bij" sqref="A1:D1" xr:uid="{00000000-0002-0000-06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600-000009000000}"/>
    <dataValidation allowBlank="1" showInputMessage="1" showErrorMessage="1" prompt="Berekent automatisch het totaal aantal dagen die een werknemer in deze maand niet aanwezig was in deze kolom" sqref="AJ5" xr:uid="{00000000-0002-0000-0600-00000B000000}"/>
    <dataValidation allowBlank="1" showInputMessage="1" showErrorMessage="1" prompt="Automatisch bijgewerkt jaar op basis van het jaar dat in het werkblad januari is ingevoerd" sqref="AJ3" xr:uid="{00000000-0002-0000-06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6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AJ6:AJ9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tabColor theme="2" tint="-0.749992370372631"/>
    <pageSetUpPr fitToPage="1"/>
  </sheetPr>
  <dimension ref="A1:AL9"/>
  <sheetViews>
    <sheetView showGridLines="0" zoomScaleNormal="100" workbookViewId="0">
      <selection activeCell="AK6" sqref="AK6:AK8"/>
    </sheetView>
  </sheetViews>
  <sheetFormatPr baseColWidth="10" defaultColWidth="8.83203125" defaultRowHeight="30" customHeight="1" x14ac:dyDescent="0.2"/>
  <cols>
    <col min="1" max="1" width="21.33203125"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row>
    <row r="2" spans="1:38" ht="15" customHeight="1" x14ac:dyDescent="0.2">
      <c r="A2" s="4"/>
      <c r="B2" s="17"/>
      <c r="C2" s="17"/>
      <c r="D2" s="17"/>
    </row>
    <row r="3" spans="1:38" ht="30" customHeight="1" x14ac:dyDescent="0.2">
      <c r="A3" s="3" t="s">
        <v>51</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
      <c r="A4" s="3"/>
      <c r="B4" s="3"/>
      <c r="C4" s="3"/>
      <c r="D4" s="3"/>
      <c r="E4" s="1" t="str">
        <f>TEXT(WEEKDAY(DATE(CalendarYear,8,1),1),"aaa")</f>
        <v>vr</v>
      </c>
      <c r="F4" s="1" t="str">
        <f>TEXT(WEEKDAY(DATE(CalendarYear,8,2),1),"aaa")</f>
        <v>za</v>
      </c>
      <c r="G4" s="1" t="str">
        <f>TEXT(WEEKDAY(DATE(CalendarYear,8,3),1),"aaa")</f>
        <v>zo</v>
      </c>
      <c r="H4" s="1" t="str">
        <f>TEXT(WEEKDAY(DATE(CalendarYear,8,4),1),"aaa")</f>
        <v>ma</v>
      </c>
      <c r="I4" s="1" t="str">
        <f>TEXT(WEEKDAY(DATE(CalendarYear,8,5),1),"aaa")</f>
        <v>di</v>
      </c>
      <c r="J4" s="1" t="str">
        <f>TEXT(WEEKDAY(DATE(CalendarYear,8,6),1),"aaa")</f>
        <v>wo</v>
      </c>
      <c r="K4" s="1" t="str">
        <f>TEXT(WEEKDAY(DATE(CalendarYear,8,7),1),"aaa")</f>
        <v>do</v>
      </c>
      <c r="L4" s="1" t="str">
        <f>TEXT(WEEKDAY(DATE(CalendarYear,8,1),1),"aaa")</f>
        <v>vr</v>
      </c>
      <c r="M4" s="1" t="str">
        <f>TEXT(WEEKDAY(DATE(CalendarYear,8,2),1),"aaa")</f>
        <v>za</v>
      </c>
      <c r="N4" s="1" t="str">
        <f>TEXT(WEEKDAY(DATE(CalendarYear,8,3),1),"aaa")</f>
        <v>zo</v>
      </c>
      <c r="O4" s="1" t="str">
        <f>TEXT(WEEKDAY(DATE(CalendarYear,8,4),1),"aaa")</f>
        <v>ma</v>
      </c>
      <c r="P4" s="1" t="str">
        <f>TEXT(WEEKDAY(DATE(CalendarYear,8,5),1),"aaa")</f>
        <v>di</v>
      </c>
      <c r="Q4" s="1" t="str">
        <f>TEXT(WEEKDAY(DATE(CalendarYear,8,6),1),"aaa")</f>
        <v>wo</v>
      </c>
      <c r="R4" s="1" t="str">
        <f>TEXT(WEEKDAY(DATE(CalendarYear,8,7),1),"aaa")</f>
        <v>do</v>
      </c>
      <c r="S4" s="1" t="str">
        <f>TEXT(WEEKDAY(DATE(CalendarYear,8,1),1),"aaa")</f>
        <v>vr</v>
      </c>
      <c r="T4" s="1" t="str">
        <f>TEXT(WEEKDAY(DATE(CalendarYear,8,2),1),"aaa")</f>
        <v>za</v>
      </c>
      <c r="U4" s="1" t="str">
        <f>TEXT(WEEKDAY(DATE(CalendarYear,8,3),1),"aaa")</f>
        <v>zo</v>
      </c>
      <c r="V4" s="1" t="str">
        <f>TEXT(WEEKDAY(DATE(CalendarYear,8,4),1),"aaa")</f>
        <v>ma</v>
      </c>
      <c r="W4" s="1" t="str">
        <f>TEXT(WEEKDAY(DATE(CalendarYear,8,5),1),"aaa")</f>
        <v>di</v>
      </c>
      <c r="X4" s="1" t="str">
        <f>TEXT(WEEKDAY(DATE(CalendarYear,8,6),1),"aaa")</f>
        <v>wo</v>
      </c>
      <c r="Y4" s="1" t="str">
        <f>TEXT(WEEKDAY(DATE(CalendarYear,8,7),1),"aaa")</f>
        <v>do</v>
      </c>
      <c r="Z4" s="1" t="str">
        <f>TEXT(WEEKDAY(DATE(CalendarYear,8,1),1),"aaa")</f>
        <v>vr</v>
      </c>
      <c r="AA4" s="1" t="str">
        <f>TEXT(WEEKDAY(DATE(CalendarYear,8,2),1),"aaa")</f>
        <v>za</v>
      </c>
      <c r="AB4" s="1" t="str">
        <f>TEXT(WEEKDAY(DATE(CalendarYear,8,3),1),"aaa")</f>
        <v>zo</v>
      </c>
      <c r="AC4" s="1" t="str">
        <f>TEXT(WEEKDAY(DATE(CalendarYear,8,4),1),"aaa")</f>
        <v>ma</v>
      </c>
      <c r="AD4" s="1" t="str">
        <f>TEXT(WEEKDAY(DATE(CalendarYear,8,5),1),"aaa")</f>
        <v>di</v>
      </c>
      <c r="AE4" s="1" t="str">
        <f>TEXT(WEEKDAY(DATE(CalendarYear,8,6),1),"aaa")</f>
        <v>wo</v>
      </c>
      <c r="AF4" s="1" t="str">
        <f>TEXT(WEEKDAY(DATE(CalendarYear,8,7),1),"aaa")</f>
        <v>do</v>
      </c>
      <c r="AG4" s="1" t="str">
        <f>TEXT(WEEKDAY(DATE(CalendarYear,8,1),1),"aaa")</f>
        <v>vr</v>
      </c>
      <c r="AH4" s="1" t="str">
        <f>TEXT(WEEKDAY(DATE(CalendarYear,8,2),1),"aaa")</f>
        <v>za</v>
      </c>
      <c r="AI4" s="1" t="str">
        <f>TEXT(WEEKDAY(DATE(CalendarYear,8,3),1),"aaa")</f>
        <v>zo</v>
      </c>
      <c r="AJ4" s="3"/>
      <c r="AK4" s="11" t="s">
        <v>2</v>
      </c>
      <c r="AL4" s="3"/>
    </row>
    <row r="5" spans="1:38"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
      <c r="A6" t="s">
        <v>42</v>
      </c>
      <c r="D6" s="1" t="s">
        <v>63</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2">
        <f>SUM(Augustus[[#This Row],[1]:[31]])</f>
        <v>0</v>
      </c>
      <c r="AK6" s="1">
        <f>Augustus[[#This Row],[Totaal aantal km]]*0.4</f>
        <v>0</v>
      </c>
      <c r="AL6" s="10"/>
    </row>
    <row r="7" spans="1:38" ht="30" customHeight="1" x14ac:dyDescent="0.2">
      <c r="A7" t="s">
        <v>41</v>
      </c>
      <c r="D7" s="1" t="s">
        <v>68</v>
      </c>
      <c r="AJ7" s="8">
        <f>SUM(Augustus[[#This Row],[1]:[31]])</f>
        <v>0</v>
      </c>
      <c r="AK7" s="1">
        <f>Augustus[[#This Row],[Totaal aantal km]]*0.4</f>
        <v>0</v>
      </c>
      <c r="AL7" s="10"/>
    </row>
    <row r="8" spans="1:38" ht="30" customHeight="1" x14ac:dyDescent="0.2">
      <c r="A8" t="s">
        <v>69</v>
      </c>
      <c r="AJ8" s="2">
        <f>SUM(Augustus[[#This Row],[1]:[31]])</f>
        <v>0</v>
      </c>
      <c r="AK8" s="1">
        <f>Augustus[[#This Row],[Totaal aantal km]]*0.4</f>
        <v>0</v>
      </c>
      <c r="AL8" s="10"/>
    </row>
    <row r="9" spans="1:38" ht="30" customHeight="1" thickBo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t="s">
        <v>57</v>
      </c>
      <c r="AK9" s="16">
        <f>SUM(AK6:AK8)</f>
        <v>0</v>
      </c>
      <c r="AL9" s="10"/>
    </row>
  </sheetData>
  <mergeCells count="1">
    <mergeCell ref="E3:AI3"/>
  </mergeCells>
  <phoneticPr fontId="18" type="noConversion"/>
  <conditionalFormatting sqref="E6:AI8">
    <cfRule type="expression" priority="1" stopIfTrue="1">
      <formula>E6=""</formula>
    </cfRule>
    <cfRule type="expression" dxfId="24" priority="2" stopIfTrue="1">
      <formula>E6=KeyCustom2</formula>
    </cfRule>
    <cfRule type="expression" dxfId="23" priority="3" stopIfTrue="1">
      <formula>E6=KeyCustom1</formula>
    </cfRule>
    <cfRule type="expression" dxfId="22" priority="4" stopIfTrue="1">
      <formula>E6=KeySick</formula>
    </cfRule>
    <cfRule type="expression" dxfId="21" priority="5" stopIfTrue="1">
      <formula>E6=KeyPersonal</formula>
    </cfRule>
    <cfRule type="expression" dxfId="20" priority="6" stopIfTrue="1">
      <formula>E6=KeyVacation</formula>
    </cfRule>
  </conditionalFormatting>
  <conditionalFormatting sqref="AJ6:AJ8">
    <cfRule type="dataBar" priority="411">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700-000000000000}"/>
    <dataValidation allowBlank="1" showInputMessage="1" showErrorMessage="1" prompt="Automatisch bijgewerkt jaar op basis van het jaar dat in het werkblad januari is ingevoerd" sqref="AJ3" xr:uid="{00000000-0002-0000-0700-000001000000}"/>
    <dataValidation allowBlank="1" showInputMessage="1" showErrorMessage="1" prompt="Berekent automatisch het totaal aantal dagen die een werknemer in deze maand niet aanwezig was in deze kolom" sqref="AJ5" xr:uid="{00000000-0002-0000-07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700-000004000000}"/>
    <dataValidation allowBlank="1" showInputMessage="1" showErrorMessage="1" prompt="De titel wordt automatisch bijgewerkt in deze cel. Als u de titel wilt wijzigen, werk B1 in het januari-werkblad bij" sqref="A1:D1" xr:uid="{00000000-0002-0000-07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7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7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AJ6:AJ8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tabColor theme="2" tint="-0.499984740745262"/>
    <pageSetUpPr fitToPage="1"/>
  </sheetPr>
  <dimension ref="A1:AK12"/>
  <sheetViews>
    <sheetView showGridLines="0" zoomScaleNormal="100" workbookViewId="0">
      <selection activeCell="AJ6" sqref="AJ6:AJ11"/>
    </sheetView>
  </sheetViews>
  <sheetFormatPr baseColWidth="10" defaultColWidth="8.83203125" defaultRowHeight="30" customHeight="1" x14ac:dyDescent="0.2"/>
  <cols>
    <col min="1" max="1" width="25.6640625" customWidth="1"/>
    <col min="2" max="2" width="15.83203125" style="1" bestFit="1" customWidth="1"/>
    <col min="3" max="3" width="14.6640625" style="1" bestFit="1" customWidth="1"/>
    <col min="4" max="4" width="13.5" style="1" bestFit="1" customWidth="1"/>
    <col min="5" max="34" width="4.33203125" customWidth="1"/>
    <col min="35" max="35" width="15.5" bestFit="1" customWidth="1"/>
    <col min="36" max="36" width="14.83203125" bestFit="1" customWidth="1"/>
    <col min="37" max="37" width="16.6640625" bestFit="1" customWidth="1"/>
  </cols>
  <sheetData>
    <row r="1" spans="1:37" ht="50" customHeight="1" x14ac:dyDescent="0.2">
      <c r="A1" s="4" t="str">
        <f>Employee_Absence_Title</f>
        <v>Kilometer werknemers</v>
      </c>
      <c r="B1" s="17"/>
      <c r="C1" s="17"/>
      <c r="D1" s="17"/>
    </row>
    <row r="2" spans="1:37" ht="15" customHeight="1" x14ac:dyDescent="0.2">
      <c r="A2" s="4"/>
      <c r="B2" s="17"/>
      <c r="C2" s="17"/>
      <c r="D2" s="17"/>
    </row>
    <row r="3" spans="1:37" ht="30" customHeight="1" x14ac:dyDescent="0.2">
      <c r="A3" s="3" t="s">
        <v>52</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
      <c r="A4" s="3"/>
      <c r="B4" s="3"/>
      <c r="C4" s="3"/>
      <c r="D4" s="3"/>
      <c r="E4" s="1" t="str">
        <f>TEXT(WEEKDAY(DATE(CalendarYear,9,1),1),"aaa")</f>
        <v>ma</v>
      </c>
      <c r="F4" s="1" t="str">
        <f>TEXT(WEEKDAY(DATE(CalendarYear,9,2),1),"aaa")</f>
        <v>di</v>
      </c>
      <c r="G4" s="1" t="str">
        <f>TEXT(WEEKDAY(DATE(CalendarYear,9,3),1),"aaa")</f>
        <v>wo</v>
      </c>
      <c r="H4" s="1" t="str">
        <f>TEXT(WEEKDAY(DATE(CalendarYear,9,4),1),"aaa")</f>
        <v>do</v>
      </c>
      <c r="I4" s="1" t="str">
        <f>TEXT(WEEKDAY(DATE(CalendarYear,9,5),1),"aaa")</f>
        <v>vr</v>
      </c>
      <c r="J4" s="1" t="str">
        <f>TEXT(WEEKDAY(DATE(CalendarYear,9,6),1),"aaa")</f>
        <v>za</v>
      </c>
      <c r="K4" s="1" t="str">
        <f>TEXT(WEEKDAY(DATE(CalendarYear,9,7),1),"aaa")</f>
        <v>zo</v>
      </c>
      <c r="L4" s="1" t="str">
        <f>TEXT(WEEKDAY(DATE(CalendarYear,9,1),1),"aaa")</f>
        <v>ma</v>
      </c>
      <c r="M4" s="1" t="str">
        <f>TEXT(WEEKDAY(DATE(CalendarYear,9,2),1),"aaa")</f>
        <v>di</v>
      </c>
      <c r="N4" s="1" t="str">
        <f>TEXT(WEEKDAY(DATE(CalendarYear,9,3),1),"aaa")</f>
        <v>wo</v>
      </c>
      <c r="O4" s="1" t="str">
        <f>TEXT(WEEKDAY(DATE(CalendarYear,9,4),1),"aaa")</f>
        <v>do</v>
      </c>
      <c r="P4" s="1" t="str">
        <f>TEXT(WEEKDAY(DATE(CalendarYear,9,5),1),"aaa")</f>
        <v>vr</v>
      </c>
      <c r="Q4" s="1" t="str">
        <f>TEXT(WEEKDAY(DATE(CalendarYear,9,6),1),"aaa")</f>
        <v>za</v>
      </c>
      <c r="R4" s="1" t="str">
        <f>TEXT(WEEKDAY(DATE(CalendarYear,9,7),1),"aaa")</f>
        <v>zo</v>
      </c>
      <c r="S4" s="1" t="str">
        <f>TEXT(WEEKDAY(DATE(CalendarYear,9,1),1),"aaa")</f>
        <v>ma</v>
      </c>
      <c r="T4" s="1" t="str">
        <f>TEXT(WEEKDAY(DATE(CalendarYear,9,2),1),"aaa")</f>
        <v>di</v>
      </c>
      <c r="U4" s="1" t="str">
        <f>TEXT(WEEKDAY(DATE(CalendarYear,9,3),1),"aaa")</f>
        <v>wo</v>
      </c>
      <c r="V4" s="1" t="str">
        <f>TEXT(WEEKDAY(DATE(CalendarYear,9,4),1),"aaa")</f>
        <v>do</v>
      </c>
      <c r="W4" s="1" t="str">
        <f>TEXT(WEEKDAY(DATE(CalendarYear,9,5),1),"aaa")</f>
        <v>vr</v>
      </c>
      <c r="X4" s="1" t="str">
        <f>TEXT(WEEKDAY(DATE(CalendarYear,9,6),1),"aaa")</f>
        <v>za</v>
      </c>
      <c r="Y4" s="1" t="str">
        <f>TEXT(WEEKDAY(DATE(CalendarYear,9,7),1),"aaa")</f>
        <v>zo</v>
      </c>
      <c r="Z4" s="1" t="str">
        <f>TEXT(WEEKDAY(DATE(CalendarYear,9,1),1),"aaa")</f>
        <v>ma</v>
      </c>
      <c r="AA4" s="1" t="str">
        <f>TEXT(WEEKDAY(DATE(CalendarYear,9,2),1),"aaa")</f>
        <v>di</v>
      </c>
      <c r="AB4" s="1" t="str">
        <f>TEXT(WEEKDAY(DATE(CalendarYear,9,3),1),"aaa")</f>
        <v>wo</v>
      </c>
      <c r="AC4" s="1" t="str">
        <f>TEXT(WEEKDAY(DATE(CalendarYear,9,4),1),"aaa")</f>
        <v>do</v>
      </c>
      <c r="AD4" s="1" t="str">
        <f>TEXT(WEEKDAY(DATE(CalendarYear,9,5),1),"aaa")</f>
        <v>vr</v>
      </c>
      <c r="AE4" s="1" t="str">
        <f>TEXT(WEEKDAY(DATE(CalendarYear,9,6),1),"aaa")</f>
        <v>za</v>
      </c>
      <c r="AF4" s="1" t="str">
        <f>TEXT(WEEKDAY(DATE(CalendarYear,9,7),1),"aaa")</f>
        <v>zo</v>
      </c>
      <c r="AG4" s="1" t="str">
        <f>TEXT(WEEKDAY(DATE(CalendarYear,9,1),1),"aaa")</f>
        <v>ma</v>
      </c>
      <c r="AH4" s="1" t="str">
        <f>TEXT(WEEKDAY(DATE(CalendarYear,9,2),1),"aaa")</f>
        <v>di</v>
      </c>
      <c r="AI4" s="3"/>
      <c r="AJ4" s="11" t="s">
        <v>2</v>
      </c>
      <c r="AK4" s="3"/>
    </row>
    <row r="5" spans="1:37"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
      <c r="A6" t="s">
        <v>43</v>
      </c>
      <c r="D6" s="1" t="s">
        <v>61</v>
      </c>
      <c r="AI6" s="8">
        <f>SUM(September[[#This Row],[1]:[30]])</f>
        <v>0</v>
      </c>
      <c r="AJ6" s="1">
        <f>September[[#This Row],[Totaal aantal km]]*0.4</f>
        <v>0</v>
      </c>
      <c r="AK6" s="10"/>
    </row>
    <row r="7" spans="1:37" ht="30" customHeight="1" x14ac:dyDescent="0.2">
      <c r="A7" t="s">
        <v>66</v>
      </c>
      <c r="D7" s="1" t="s">
        <v>67</v>
      </c>
      <c r="AI7" s="8">
        <f>SUM(September[[#This Row],[1]:[30]])</f>
        <v>0</v>
      </c>
      <c r="AJ7" s="1">
        <f>September[[#This Row],[Totaal aantal km]]*0.4</f>
        <v>0</v>
      </c>
      <c r="AK7" s="10"/>
    </row>
    <row r="8" spans="1:37" ht="30" customHeight="1" x14ac:dyDescent="0.2">
      <c r="A8" t="s">
        <v>42</v>
      </c>
      <c r="D8" s="1" t="s">
        <v>63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2">
        <f>SUM(September[[#This Row],[1]:[30]])</f>
        <v>0</v>
      </c>
      <c r="AJ8" s="1">
        <f>September[[#This Row],[Totaal aantal km]]*0.4</f>
        <v>0</v>
      </c>
      <c r="AK8" s="10"/>
    </row>
    <row r="9" spans="1:37" ht="30" customHeight="1" x14ac:dyDescent="0.2">
      <c r="A9" t="s">
        <v>41</v>
      </c>
      <c r="C9" s="18"/>
      <c r="D9" s="1" t="s">
        <v>68</v>
      </c>
      <c r="AI9" s="8">
        <f>SUM(September[[#This Row],[1]:[30]])</f>
        <v>0</v>
      </c>
      <c r="AJ9" s="1">
        <f>September[[#This Row],[Totaal aantal km]]*0.4</f>
        <v>0</v>
      </c>
      <c r="AK9" s="10"/>
    </row>
    <row r="10" spans="1:37" ht="30" customHeight="1" x14ac:dyDescent="0.2">
      <c r="A10" t="s">
        <v>64</v>
      </c>
      <c r="D10" s="1" t="s">
        <v>65</v>
      </c>
      <c r="AI10" s="8">
        <f>SUM(September[[#This Row],[1]:[30]])</f>
        <v>0</v>
      </c>
      <c r="AJ10" s="1">
        <f>September[[#This Row],[Totaal aantal km]]*0.4</f>
        <v>0</v>
      </c>
      <c r="AK10" s="10"/>
    </row>
    <row r="11" spans="1:37" ht="30" customHeight="1" x14ac:dyDescent="0.2">
      <c r="A11" t="s">
        <v>69</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2">
        <f>SUM(September[[#This Row],[1]:[30]])</f>
        <v>0</v>
      </c>
      <c r="AJ11" s="1">
        <f>September[[#This Row],[Totaal aantal km]]*0.4</f>
        <v>0</v>
      </c>
      <c r="AK11" s="10"/>
    </row>
    <row r="12" spans="1:37" ht="30" customHeight="1" thickBot="1" x14ac:dyDescent="0.25">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t="s">
        <v>57</v>
      </c>
      <c r="AJ12" s="16">
        <f>SUM(AJ6:AJ11)</f>
        <v>0</v>
      </c>
      <c r="AK12" s="10"/>
    </row>
  </sheetData>
  <mergeCells count="1">
    <mergeCell ref="E3:AH3"/>
  </mergeCells>
  <phoneticPr fontId="18" type="noConversion"/>
  <conditionalFormatting sqref="E6:AH11">
    <cfRule type="expression" priority="1" stopIfTrue="1">
      <formula>E6=""</formula>
    </cfRule>
    <cfRule type="expression" dxfId="19" priority="2" stopIfTrue="1">
      <formula>E6=KeyCustom2</formula>
    </cfRule>
    <cfRule type="expression" dxfId="18" priority="3" stopIfTrue="1">
      <formula>E6=KeyCustom1</formula>
    </cfRule>
    <cfRule type="expression" dxfId="17" priority="4" stopIfTrue="1">
      <formula>E6=KeySick</formula>
    </cfRule>
    <cfRule type="expression" dxfId="16" priority="5" stopIfTrue="1">
      <formula>E6=KeyPersonal</formula>
    </cfRule>
    <cfRule type="expression" dxfId="15" priority="6" stopIfTrue="1">
      <formula>E6=KeyVacation</formula>
    </cfRule>
  </conditionalFormatting>
  <conditionalFormatting sqref="AI6:AI11">
    <cfRule type="dataBar" priority="424">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8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800-000001000000}"/>
    <dataValidation allowBlank="1" showInputMessage="1" showErrorMessage="1" prompt="De titel wordt automatisch bijgewerkt in deze cel. Als u de titel wilt wijzigen, werk B1 in het januari-werkblad bij" sqref="A1:D1" xr:uid="{00000000-0002-0000-08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800-000009000000}"/>
    <dataValidation allowBlank="1" showInputMessage="1" showErrorMessage="1" prompt="Berekent automatisch het totaal aantal dagen die een werknemer in deze maand niet aanwezig was in deze kolom" sqref="AI5" xr:uid="{00000000-0002-0000-0800-00000B000000}"/>
    <dataValidation allowBlank="1" showInputMessage="1" showErrorMessage="1" prompt="Automatisch bijgewerkt jaar op basis van het jaar dat in het werkblad januari is ingevoerd" sqref="AI3" xr:uid="{00000000-0002-0000-08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8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AI6:AI11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tabColor theme="2" tint="-0.249977111117893"/>
    <pageSetUpPr fitToPage="1"/>
  </sheetPr>
  <dimension ref="A1:AL13"/>
  <sheetViews>
    <sheetView showGridLines="0" zoomScaleNormal="100" workbookViewId="0">
      <selection activeCell="AK6" sqref="AK6:AK12"/>
    </sheetView>
  </sheetViews>
  <sheetFormatPr baseColWidth="10" defaultColWidth="8.83203125" defaultRowHeight="30" customHeight="1" x14ac:dyDescent="0.2"/>
  <cols>
    <col min="1" max="1" width="25.6640625"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row>
    <row r="2" spans="1:38" ht="15" customHeight="1" x14ac:dyDescent="0.2">
      <c r="A2" s="4"/>
      <c r="B2" s="17"/>
      <c r="C2" s="17"/>
      <c r="D2" s="17"/>
    </row>
    <row r="3" spans="1:38" ht="30" customHeight="1" x14ac:dyDescent="0.2">
      <c r="A3" s="3" t="s">
        <v>53</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
      <c r="A4" s="3"/>
      <c r="B4" s="3"/>
      <c r="C4" s="3"/>
      <c r="D4" s="3"/>
      <c r="E4" s="1" t="str">
        <f>TEXT(WEEKDAY(DATE(CalendarYear,10,1),1),"aaa")</f>
        <v>wo</v>
      </c>
      <c r="F4" s="1" t="str">
        <f>TEXT(WEEKDAY(DATE(CalendarYear,10,2),1),"aaa")</f>
        <v>do</v>
      </c>
      <c r="G4" s="1" t="str">
        <f>TEXT(WEEKDAY(DATE(CalendarYear,10,3),1),"aaa")</f>
        <v>vr</v>
      </c>
      <c r="H4" s="1" t="str">
        <f>TEXT(WEEKDAY(DATE(CalendarYear,10,4),1),"aaa")</f>
        <v>za</v>
      </c>
      <c r="I4" s="1" t="str">
        <f>TEXT(WEEKDAY(DATE(CalendarYear,10,5),1),"aaa")</f>
        <v>zo</v>
      </c>
      <c r="J4" s="1" t="str">
        <f>TEXT(WEEKDAY(DATE(CalendarYear,10,6),1),"aaa")</f>
        <v>ma</v>
      </c>
      <c r="K4" s="1" t="str">
        <f>TEXT(WEEKDAY(DATE(CalendarYear,10,7),1),"aaa")</f>
        <v>di</v>
      </c>
      <c r="L4" s="1" t="str">
        <f>TEXT(WEEKDAY(DATE(CalendarYear,10,1),1),"aaa")</f>
        <v>wo</v>
      </c>
      <c r="M4" s="1" t="str">
        <f>TEXT(WEEKDAY(DATE(CalendarYear,10,2),1),"aaa")</f>
        <v>do</v>
      </c>
      <c r="N4" s="1" t="str">
        <f>TEXT(WEEKDAY(DATE(CalendarYear,10,3),1),"aaa")</f>
        <v>vr</v>
      </c>
      <c r="O4" s="1" t="str">
        <f>TEXT(WEEKDAY(DATE(CalendarYear,10,4),1),"aaa")</f>
        <v>za</v>
      </c>
      <c r="P4" s="1" t="str">
        <f>TEXT(WEEKDAY(DATE(CalendarYear,10,5),1),"aaa")</f>
        <v>zo</v>
      </c>
      <c r="Q4" s="1" t="str">
        <f>TEXT(WEEKDAY(DATE(CalendarYear,10,6),1),"aaa")</f>
        <v>ma</v>
      </c>
      <c r="R4" s="1" t="str">
        <f>TEXT(WEEKDAY(DATE(CalendarYear,10,7),1),"aaa")</f>
        <v>di</v>
      </c>
      <c r="S4" s="1" t="str">
        <f>TEXT(WEEKDAY(DATE(CalendarYear,10,1),1),"aaa")</f>
        <v>wo</v>
      </c>
      <c r="T4" s="1" t="str">
        <f>TEXT(WEEKDAY(DATE(CalendarYear,10,2),1),"aaa")</f>
        <v>do</v>
      </c>
      <c r="U4" s="1" t="str">
        <f>TEXT(WEEKDAY(DATE(CalendarYear,10,3),1),"aaa")</f>
        <v>vr</v>
      </c>
      <c r="V4" s="1" t="str">
        <f>TEXT(WEEKDAY(DATE(CalendarYear,10,4),1),"aaa")</f>
        <v>za</v>
      </c>
      <c r="W4" s="1" t="str">
        <f>TEXT(WEEKDAY(DATE(CalendarYear,10,5),1),"aaa")</f>
        <v>zo</v>
      </c>
      <c r="X4" s="1" t="str">
        <f>TEXT(WEEKDAY(DATE(CalendarYear,10,6),1),"aaa")</f>
        <v>ma</v>
      </c>
      <c r="Y4" s="1" t="str">
        <f>TEXT(WEEKDAY(DATE(CalendarYear,10,7),1),"aaa")</f>
        <v>di</v>
      </c>
      <c r="Z4" s="1" t="str">
        <f>TEXT(WEEKDAY(DATE(CalendarYear,10,1),1),"aaa")</f>
        <v>wo</v>
      </c>
      <c r="AA4" s="1" t="str">
        <f>TEXT(WEEKDAY(DATE(CalendarYear,10,2),1),"aaa")</f>
        <v>do</v>
      </c>
      <c r="AB4" s="1" t="str">
        <f>TEXT(WEEKDAY(DATE(CalendarYear,10,3),1),"aaa")</f>
        <v>vr</v>
      </c>
      <c r="AC4" s="1" t="str">
        <f>TEXT(WEEKDAY(DATE(CalendarYear,10,4),1),"aaa")</f>
        <v>za</v>
      </c>
      <c r="AD4" s="1" t="str">
        <f>TEXT(WEEKDAY(DATE(CalendarYear,10,5),1),"aaa")</f>
        <v>zo</v>
      </c>
      <c r="AE4" s="1" t="str">
        <f>TEXT(WEEKDAY(DATE(CalendarYear,10,6),1),"aaa")</f>
        <v>ma</v>
      </c>
      <c r="AF4" s="1" t="str">
        <f>TEXT(WEEKDAY(DATE(CalendarYear,10,7),1),"aaa")</f>
        <v>di</v>
      </c>
      <c r="AG4" s="1" t="str">
        <f>TEXT(WEEKDAY(DATE(CalendarYear,10,1),1),"aaa")</f>
        <v>wo</v>
      </c>
      <c r="AH4" s="1" t="str">
        <f>TEXT(WEEKDAY(DATE(CalendarYear,10,2),1),"aaa")</f>
        <v>do</v>
      </c>
      <c r="AI4" s="1" t="str">
        <f>TEXT(WEEKDAY(DATE(CalendarYear,10,3),1),"aaa")</f>
        <v>vr</v>
      </c>
      <c r="AJ4" s="3"/>
      <c r="AK4" s="11" t="s">
        <v>2</v>
      </c>
      <c r="AL4" s="3"/>
    </row>
    <row r="5" spans="1:38"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
      <c r="A6" t="s">
        <v>43</v>
      </c>
      <c r="D6" s="1" t="s">
        <v>61</v>
      </c>
      <c r="AJ6" s="8">
        <f>SUM(Oktober[[#This Row],[1]:[31]])</f>
        <v>0</v>
      </c>
      <c r="AK6" s="1">
        <f>Oktober[[#This Row],[Totaal aantal km]]*0.4</f>
        <v>0</v>
      </c>
      <c r="AL6" s="10"/>
    </row>
    <row r="7" spans="1:38" ht="30" customHeight="1" x14ac:dyDescent="0.2">
      <c r="A7" t="s">
        <v>66</v>
      </c>
      <c r="D7" s="1" t="s">
        <v>67</v>
      </c>
      <c r="AJ7" s="8">
        <f>SUM(Oktober[[#This Row],[1]:[31]])</f>
        <v>0</v>
      </c>
      <c r="AK7" s="1">
        <f>Oktober[[#This Row],[Totaal aantal km]]*0.4</f>
        <v>0</v>
      </c>
      <c r="AL7" s="10"/>
    </row>
    <row r="8" spans="1:38" ht="30" customHeight="1" x14ac:dyDescent="0.2">
      <c r="A8" t="s">
        <v>42</v>
      </c>
      <c r="D8" s="1" t="s">
        <v>63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2">
        <f>SUM(Oktober[[#This Row],[1]:[31]])</f>
        <v>0</v>
      </c>
      <c r="AK8" s="1">
        <f>Oktober[[#This Row],[Totaal aantal km]]*0.4</f>
        <v>0</v>
      </c>
      <c r="AL8" s="10"/>
    </row>
    <row r="9" spans="1:38" ht="30" customHeight="1" x14ac:dyDescent="0.2">
      <c r="A9" t="s">
        <v>40</v>
      </c>
      <c r="D9" s="1" t="s">
        <v>62</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2">
        <f>SUM(Oktober[[#This Row],[1]:[31]])</f>
        <v>0</v>
      </c>
      <c r="AK9" s="1">
        <f>Oktober[[#This Row],[Totaal aantal km]]*0.4</f>
        <v>0</v>
      </c>
      <c r="AL9" s="10"/>
    </row>
    <row r="10" spans="1:38" ht="30" customHeight="1" x14ac:dyDescent="0.2">
      <c r="A10" t="s">
        <v>41</v>
      </c>
      <c r="C10" s="18"/>
      <c r="D10" s="1" t="s">
        <v>68</v>
      </c>
      <c r="AJ10" s="8">
        <f>SUM(Oktober[[#This Row],[1]:[31]])</f>
        <v>0</v>
      </c>
      <c r="AK10" s="1">
        <f>Oktober[[#This Row],[Totaal aantal km]]*0.4</f>
        <v>0</v>
      </c>
      <c r="AL10" s="10"/>
    </row>
    <row r="11" spans="1:38" ht="30" customHeight="1" x14ac:dyDescent="0.2">
      <c r="A11" t="s">
        <v>64</v>
      </c>
      <c r="D11" s="1" t="s">
        <v>65</v>
      </c>
      <c r="AJ11" s="8">
        <f>SUM(Oktober[[#This Row],[1]:[31]])</f>
        <v>0</v>
      </c>
      <c r="AK11" s="1">
        <f>Oktober[[#This Row],[Totaal aantal km]]*0.4</f>
        <v>0</v>
      </c>
      <c r="AL11" s="10"/>
    </row>
    <row r="12" spans="1:38" ht="30" customHeight="1" x14ac:dyDescent="0.2">
      <c r="A12" t="s">
        <v>69</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2">
        <f>SUM(Oktober[[#This Row],[1]:[31]])</f>
        <v>0</v>
      </c>
      <c r="AK12" s="1">
        <f>Oktober[[#This Row],[Totaal aantal km]]*0.4</f>
        <v>0</v>
      </c>
      <c r="AL12" s="10"/>
    </row>
    <row r="13" spans="1:38" ht="30" customHeight="1" thickBot="1" x14ac:dyDescent="0.25">
      <c r="A13" s="12"/>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t="s">
        <v>57</v>
      </c>
      <c r="AK13" s="16">
        <f>SUM(AK6:AK12)</f>
        <v>0</v>
      </c>
      <c r="AL13" s="10"/>
    </row>
  </sheetData>
  <mergeCells count="1">
    <mergeCell ref="E3:AI3"/>
  </mergeCells>
  <phoneticPr fontId="18" type="noConversion"/>
  <conditionalFormatting sqref="E6:AI12">
    <cfRule type="expression" priority="1" stopIfTrue="1">
      <formula>E6=""</formula>
    </cfRule>
    <cfRule type="expression" dxfId="14" priority="2" stopIfTrue="1">
      <formula>E6=KeyCustom2</formula>
    </cfRule>
    <cfRule type="expression" dxfId="13" priority="3" stopIfTrue="1">
      <formula>E6=KeyCustom1</formula>
    </cfRule>
    <cfRule type="expression" dxfId="12" priority="4" stopIfTrue="1">
      <formula>E6=KeySick</formula>
    </cfRule>
    <cfRule type="expression" dxfId="11" priority="5" stopIfTrue="1">
      <formula>E6=KeyPersonal</formula>
    </cfRule>
    <cfRule type="expression" dxfId="10" priority="6" stopIfTrue="1">
      <formula>E6=KeyVacation</formula>
    </cfRule>
  </conditionalFormatting>
  <conditionalFormatting sqref="AJ6:AJ12">
    <cfRule type="dataBar" priority="293">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900-000000000000}"/>
    <dataValidation allowBlank="1" showInputMessage="1" showErrorMessage="1" prompt="Automatisch bijgewerkt jaar op basis van het jaar dat in het werkblad januari is ingevoerd" sqref="AJ3" xr:uid="{00000000-0002-0000-0900-000001000000}"/>
    <dataValidation allowBlank="1" showInputMessage="1" showErrorMessage="1" prompt="Berekent automatisch het totaal aantal dagen die een werknemer in deze maand niet aanwezig was in deze kolom" sqref="AJ5" xr:uid="{00000000-0002-0000-09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900-000004000000}"/>
    <dataValidation allowBlank="1" showInputMessage="1" showErrorMessage="1" prompt="De titel wordt automatisch bijgewerkt in deze cel. Als u de titel wilt wijzigen, werk B1 in het januari-werkblad bij" sqref="A1:D1" xr:uid="{00000000-0002-0000-09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9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900-00000D000000}"/>
  </dataValidations>
  <printOptions horizontalCentered="1"/>
  <pageMargins left="0.25" right="0.25" top="0.75" bottom="0.75" header="0.3" footer="0.3"/>
  <pageSetup paperSize="9" scale="57"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AJ6:AJ12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tabColor theme="2" tint="-0.249977111117893"/>
    <pageSetUpPr fitToPage="1"/>
  </sheetPr>
  <dimension ref="A1:AK13"/>
  <sheetViews>
    <sheetView showGridLines="0" zoomScaleNormal="100" workbookViewId="0">
      <selection activeCell="AJ6" sqref="AJ6:AJ12"/>
    </sheetView>
  </sheetViews>
  <sheetFormatPr baseColWidth="10" defaultColWidth="8.83203125" defaultRowHeight="30" customHeight="1" x14ac:dyDescent="0.2"/>
  <cols>
    <col min="1" max="1" width="25.6640625" customWidth="1"/>
    <col min="2" max="2" width="15.83203125" style="1" bestFit="1" customWidth="1"/>
    <col min="3" max="3" width="14.6640625" style="1" bestFit="1" customWidth="1"/>
    <col min="4" max="4" width="13.5" style="1" bestFit="1" customWidth="1"/>
    <col min="5" max="34" width="4.33203125" customWidth="1"/>
    <col min="35" max="35" width="15.5" bestFit="1" customWidth="1"/>
    <col min="36" max="36" width="14.83203125" bestFit="1" customWidth="1"/>
    <col min="37" max="37" width="16.6640625" bestFit="1" customWidth="1"/>
  </cols>
  <sheetData>
    <row r="1" spans="1:37" ht="50" customHeight="1" x14ac:dyDescent="0.2">
      <c r="A1" s="4" t="str">
        <f>Employee_Absence_Title</f>
        <v>Kilometer werknemers</v>
      </c>
      <c r="B1" s="17"/>
      <c r="C1" s="17"/>
      <c r="D1" s="17"/>
    </row>
    <row r="2" spans="1:37" ht="15" customHeight="1" x14ac:dyDescent="0.2">
      <c r="A2" s="4"/>
      <c r="B2" s="17"/>
      <c r="C2" s="17"/>
      <c r="D2" s="17"/>
    </row>
    <row r="3" spans="1:37" ht="30" customHeight="1" x14ac:dyDescent="0.2">
      <c r="A3" s="3" t="s">
        <v>54</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
      <c r="A4" s="3"/>
      <c r="B4" s="3"/>
      <c r="C4" s="3"/>
      <c r="D4" s="3"/>
      <c r="E4" s="1" t="str">
        <f>TEXT(WEEKDAY(DATE(CalendarYear,11,1),1),"aaa")</f>
        <v>za</v>
      </c>
      <c r="F4" s="1" t="str">
        <f>TEXT(WEEKDAY(DATE(CalendarYear,11,2),1),"aaa")</f>
        <v>zo</v>
      </c>
      <c r="G4" s="1" t="str">
        <f>TEXT(WEEKDAY(DATE(CalendarYear,11,3),1),"aaa")</f>
        <v>ma</v>
      </c>
      <c r="H4" s="1" t="str">
        <f>TEXT(WEEKDAY(DATE(CalendarYear,11,4),1),"aaa")</f>
        <v>di</v>
      </c>
      <c r="I4" s="1" t="str">
        <f>TEXT(WEEKDAY(DATE(CalendarYear,11,5),1),"aaa")</f>
        <v>wo</v>
      </c>
      <c r="J4" s="1" t="str">
        <f>TEXT(WEEKDAY(DATE(CalendarYear,11,6),1),"aaa")</f>
        <v>do</v>
      </c>
      <c r="K4" s="1" t="str">
        <f>TEXT(WEEKDAY(DATE(CalendarYear,11,7),1),"aaa")</f>
        <v>vr</v>
      </c>
      <c r="L4" s="1" t="str">
        <f>TEXT(WEEKDAY(DATE(CalendarYear,11,1),1),"aaa")</f>
        <v>za</v>
      </c>
      <c r="M4" s="1" t="str">
        <f>TEXT(WEEKDAY(DATE(CalendarYear,11,2),1),"aaa")</f>
        <v>zo</v>
      </c>
      <c r="N4" s="1" t="str">
        <f>TEXT(WEEKDAY(DATE(CalendarYear,11,3),1),"aaa")</f>
        <v>ma</v>
      </c>
      <c r="O4" s="1" t="str">
        <f>TEXT(WEEKDAY(DATE(CalendarYear,11,4),1),"aaa")</f>
        <v>di</v>
      </c>
      <c r="P4" s="1" t="str">
        <f>TEXT(WEEKDAY(DATE(CalendarYear,11,5),1),"aaa")</f>
        <v>wo</v>
      </c>
      <c r="Q4" s="1" t="str">
        <f>TEXT(WEEKDAY(DATE(CalendarYear,11,6),1),"aaa")</f>
        <v>do</v>
      </c>
      <c r="R4" s="1" t="str">
        <f>TEXT(WEEKDAY(DATE(CalendarYear,11,7),1),"aaa")</f>
        <v>vr</v>
      </c>
      <c r="S4" s="1" t="str">
        <f>TEXT(WEEKDAY(DATE(CalendarYear,11,1),1),"aaa")</f>
        <v>za</v>
      </c>
      <c r="T4" s="1" t="str">
        <f>TEXT(WEEKDAY(DATE(CalendarYear,11,2),1),"aaa")</f>
        <v>zo</v>
      </c>
      <c r="U4" s="1" t="str">
        <f>TEXT(WEEKDAY(DATE(CalendarYear,11,3),1),"aaa")</f>
        <v>ma</v>
      </c>
      <c r="V4" s="1" t="str">
        <f>TEXT(WEEKDAY(DATE(CalendarYear,11,4),1),"aaa")</f>
        <v>di</v>
      </c>
      <c r="W4" s="1" t="str">
        <f>TEXT(WEEKDAY(DATE(CalendarYear,11,5),1),"aaa")</f>
        <v>wo</v>
      </c>
      <c r="X4" s="1" t="str">
        <f>TEXT(WEEKDAY(DATE(CalendarYear,11,6),1),"aaa")</f>
        <v>do</v>
      </c>
      <c r="Y4" s="1" t="str">
        <f>TEXT(WEEKDAY(DATE(CalendarYear,11,7),1),"aaa")</f>
        <v>vr</v>
      </c>
      <c r="Z4" s="1" t="str">
        <f>TEXT(WEEKDAY(DATE(CalendarYear,11,1),1),"aaa")</f>
        <v>za</v>
      </c>
      <c r="AA4" s="1" t="str">
        <f>TEXT(WEEKDAY(DATE(CalendarYear,11,2),1),"aaa")</f>
        <v>zo</v>
      </c>
      <c r="AB4" s="1" t="str">
        <f>TEXT(WEEKDAY(DATE(CalendarYear,11,3),1),"aaa")</f>
        <v>ma</v>
      </c>
      <c r="AC4" s="1" t="str">
        <f>TEXT(WEEKDAY(DATE(CalendarYear,11,4),1),"aaa")</f>
        <v>di</v>
      </c>
      <c r="AD4" s="1" t="str">
        <f>TEXT(WEEKDAY(DATE(CalendarYear,11,5),1),"aaa")</f>
        <v>wo</v>
      </c>
      <c r="AE4" s="1" t="str">
        <f>TEXT(WEEKDAY(DATE(CalendarYear,11,6),1),"aaa")</f>
        <v>do</v>
      </c>
      <c r="AF4" s="1" t="str">
        <f>TEXT(WEEKDAY(DATE(CalendarYear,11,7),1),"aaa")</f>
        <v>vr</v>
      </c>
      <c r="AG4" s="1" t="str">
        <f>TEXT(WEEKDAY(DATE(CalendarYear,11,1),1),"aaa")</f>
        <v>za</v>
      </c>
      <c r="AH4" s="1" t="str">
        <f>TEXT(WEEKDAY(DATE(CalendarYear,11,2),1),"aaa")</f>
        <v>zo</v>
      </c>
      <c r="AI4" s="3"/>
      <c r="AJ4" s="11" t="s">
        <v>2</v>
      </c>
      <c r="AK4" s="3"/>
    </row>
    <row r="5" spans="1:37"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
      <c r="A6" t="s">
        <v>43</v>
      </c>
      <c r="D6" s="1" t="s">
        <v>61</v>
      </c>
      <c r="AI6" s="8">
        <f>SUM(November[[#This Row],[1]:[30]])</f>
        <v>0</v>
      </c>
      <c r="AJ6" s="1">
        <f>November[[#This Row],[Totaal aantal km]]*0.4</f>
        <v>0</v>
      </c>
      <c r="AK6" s="10"/>
    </row>
    <row r="7" spans="1:37" ht="30" customHeight="1" x14ac:dyDescent="0.2">
      <c r="A7" t="s">
        <v>66</v>
      </c>
      <c r="D7" s="1" t="s">
        <v>67</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2">
        <f>SUM(November[[#This Row],[1]:[30]])</f>
        <v>0</v>
      </c>
      <c r="AJ7" s="1">
        <f>November[[#This Row],[Totaal aantal km]]*0.4</f>
        <v>0</v>
      </c>
      <c r="AK7" s="10"/>
    </row>
    <row r="8" spans="1:37" ht="30" customHeight="1" x14ac:dyDescent="0.2">
      <c r="A8" t="s">
        <v>42</v>
      </c>
      <c r="D8" s="1" t="s">
        <v>63</v>
      </c>
      <c r="AI8" s="8">
        <f>SUM(November[[#This Row],[1]:[30]])</f>
        <v>0</v>
      </c>
      <c r="AJ8" s="1">
        <f>November[[#This Row],[Totaal aantal km]]*0.4</f>
        <v>0</v>
      </c>
      <c r="AK8" s="10"/>
    </row>
    <row r="9" spans="1:37" ht="30" customHeight="1" x14ac:dyDescent="0.2">
      <c r="A9" t="s">
        <v>40</v>
      </c>
      <c r="D9" s="1" t="s">
        <v>62</v>
      </c>
      <c r="AI9" s="8">
        <f>SUM(November[[#This Row],[1]:[30]])</f>
        <v>0</v>
      </c>
      <c r="AJ9" s="1">
        <f>November[[#This Row],[Totaal aantal km]]*0.4</f>
        <v>0</v>
      </c>
      <c r="AK9" s="10"/>
    </row>
    <row r="10" spans="1:37" ht="30" customHeight="1" x14ac:dyDescent="0.2">
      <c r="A10" t="s">
        <v>41</v>
      </c>
      <c r="C10" s="18"/>
      <c r="D10" s="1" t="s">
        <v>68</v>
      </c>
      <c r="AI10" s="8">
        <f>SUM(November[[#This Row],[1]:[30]])</f>
        <v>0</v>
      </c>
      <c r="AJ10" s="1">
        <f>November[[#This Row],[Totaal aantal km]]*0.4</f>
        <v>0</v>
      </c>
      <c r="AK10" s="10"/>
    </row>
    <row r="11" spans="1:37" ht="30" customHeight="1" x14ac:dyDescent="0.2">
      <c r="A11" t="s">
        <v>64</v>
      </c>
      <c r="D11" s="1" t="s">
        <v>65</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2">
        <f>SUM(November[[#This Row],[1]:[30]])</f>
        <v>0</v>
      </c>
      <c r="AJ11" s="1">
        <f>November[[#This Row],[Totaal aantal km]]*0.4</f>
        <v>0</v>
      </c>
      <c r="AK11" s="10"/>
    </row>
    <row r="12" spans="1:37" ht="30" customHeight="1" x14ac:dyDescent="0.2">
      <c r="A12" t="s">
        <v>69</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2">
        <f>SUM(November[[#This Row],[1]:[30]])</f>
        <v>0</v>
      </c>
      <c r="AJ12" s="1">
        <f>November[[#This Row],[Totaal aantal km]]*0.4</f>
        <v>0</v>
      </c>
      <c r="AK12" s="10"/>
    </row>
    <row r="13" spans="1:37" ht="30" customHeight="1" thickBot="1" x14ac:dyDescent="0.25">
      <c r="A13" s="12"/>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t="s">
        <v>57</v>
      </c>
      <c r="AJ13" s="16">
        <f>SUM(AJ6:AJ12)</f>
        <v>0</v>
      </c>
      <c r="AK13" s="10"/>
    </row>
  </sheetData>
  <mergeCells count="1">
    <mergeCell ref="E3:AH3"/>
  </mergeCells>
  <phoneticPr fontId="18" type="noConversion"/>
  <conditionalFormatting sqref="E6:AH12">
    <cfRule type="expression" priority="1" stopIfTrue="1">
      <formula>E6=""</formula>
    </cfRule>
    <cfRule type="expression" dxfId="9" priority="2" stopIfTrue="1">
      <formula>E6=KeyCustom2</formula>
    </cfRule>
    <cfRule type="expression" dxfId="8" priority="3" stopIfTrue="1">
      <formula>E6=KeyCustom1</formula>
    </cfRule>
    <cfRule type="expression" dxfId="7" priority="4" stopIfTrue="1">
      <formula>E6=KeySick</formula>
    </cfRule>
    <cfRule type="expression" dxfId="6" priority="5" stopIfTrue="1">
      <formula>E6=KeyPersonal</formula>
    </cfRule>
    <cfRule type="expression" dxfId="5" priority="6" stopIfTrue="1">
      <formula>E6=KeyVacation</formula>
    </cfRule>
  </conditionalFormatting>
  <conditionalFormatting sqref="AI6:AI12">
    <cfRule type="dataBar" priority="306">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A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A00-000001000000}"/>
    <dataValidation allowBlank="1" showInputMessage="1" showErrorMessage="1" prompt="De titel wordt automatisch bijgewerkt in deze cel. Als u de titel wilt wijzigen, werk B1 in het januari-werkblad bij" sqref="A1:D1" xr:uid="{00000000-0002-0000-0A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A00-000009000000}"/>
    <dataValidation allowBlank="1" showInputMessage="1" showErrorMessage="1" prompt="Berekent automatisch het totaal aantal dagen die een werknemer in deze maand niet aanwezig was in deze kolom" sqref="AI5" xr:uid="{00000000-0002-0000-0A00-00000B000000}"/>
    <dataValidation allowBlank="1" showInputMessage="1" showErrorMessage="1" prompt="Automatisch bijgewerkt jaar op basis van het jaar dat in het werkblad januari is ingevoerd" sqref="AI3" xr:uid="{00000000-0002-0000-0A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A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AI6:AI12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tabColor theme="7" tint="0.79998168889431442"/>
    <pageSetUpPr fitToPage="1"/>
  </sheetPr>
  <dimension ref="A1:AL13"/>
  <sheetViews>
    <sheetView showGridLines="0" zoomScaleNormal="100" workbookViewId="0">
      <selection activeCell="AK6" sqref="AK6:AK12"/>
    </sheetView>
  </sheetViews>
  <sheetFormatPr baseColWidth="10" defaultColWidth="8.83203125" defaultRowHeight="30" customHeight="1" x14ac:dyDescent="0.2"/>
  <cols>
    <col min="1" max="1" width="25.6640625" customWidth="1"/>
    <col min="2" max="2" width="15.83203125" style="1" bestFit="1" customWidth="1"/>
    <col min="3" max="3" width="14.6640625" style="1" bestFit="1" customWidth="1"/>
    <col min="4" max="4" width="13.5" style="1" bestFit="1" customWidth="1"/>
    <col min="5" max="35" width="4.33203125" customWidth="1"/>
    <col min="36" max="36" width="15.5" bestFit="1" customWidth="1"/>
    <col min="37" max="37" width="14.83203125" bestFit="1" customWidth="1"/>
    <col min="38" max="38" width="16.6640625" bestFit="1" customWidth="1"/>
  </cols>
  <sheetData>
    <row r="1" spans="1:38" ht="50" customHeight="1" x14ac:dyDescent="0.2">
      <c r="A1" s="4" t="str">
        <f>Employee_Absence_Title</f>
        <v>Kilometer werknemers</v>
      </c>
      <c r="B1" s="17"/>
      <c r="C1" s="17"/>
      <c r="D1" s="17"/>
    </row>
    <row r="2" spans="1:38" ht="15" customHeight="1" x14ac:dyDescent="0.2">
      <c r="A2" s="4"/>
      <c r="B2" s="17"/>
      <c r="C2" s="17"/>
      <c r="D2" s="17"/>
    </row>
    <row r="3" spans="1:38" ht="30" customHeight="1" x14ac:dyDescent="0.2">
      <c r="A3" s="3" t="s">
        <v>55</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
      <c r="A4" s="3"/>
      <c r="B4" s="3"/>
      <c r="C4" s="3"/>
      <c r="D4" s="3"/>
      <c r="E4" s="1" t="str">
        <f>TEXT(WEEKDAY(DATE(CalendarYear,12,1),1),"aaa")</f>
        <v>ma</v>
      </c>
      <c r="F4" s="1" t="str">
        <f>TEXT(WEEKDAY(DATE(CalendarYear,12,2),1),"aaa")</f>
        <v>di</v>
      </c>
      <c r="G4" s="1" t="str">
        <f>TEXT(WEEKDAY(DATE(CalendarYear,12,3),1),"aaa")</f>
        <v>wo</v>
      </c>
      <c r="H4" s="1" t="str">
        <f>TEXT(WEEKDAY(DATE(CalendarYear,12,4),1),"aaa")</f>
        <v>do</v>
      </c>
      <c r="I4" s="1" t="str">
        <f>TEXT(WEEKDAY(DATE(CalendarYear,12,5),1),"aaa")</f>
        <v>vr</v>
      </c>
      <c r="J4" s="1" t="str">
        <f>TEXT(WEEKDAY(DATE(CalendarYear,12,6),1),"aaa")</f>
        <v>za</v>
      </c>
      <c r="K4" s="1" t="str">
        <f>TEXT(WEEKDAY(DATE(CalendarYear,12,7),1),"aaa")</f>
        <v>zo</v>
      </c>
      <c r="L4" s="1" t="str">
        <f>TEXT(WEEKDAY(DATE(CalendarYear,12,1),1),"aaa")</f>
        <v>ma</v>
      </c>
      <c r="M4" s="1" t="str">
        <f>TEXT(WEEKDAY(DATE(CalendarYear,12,2),1),"aaa")</f>
        <v>di</v>
      </c>
      <c r="N4" s="1" t="str">
        <f>TEXT(WEEKDAY(DATE(CalendarYear,12,3),1),"aaa")</f>
        <v>wo</v>
      </c>
      <c r="O4" s="1" t="str">
        <f>TEXT(WEEKDAY(DATE(CalendarYear,12,4),1),"aaa")</f>
        <v>do</v>
      </c>
      <c r="P4" s="1" t="str">
        <f>TEXT(WEEKDAY(DATE(CalendarYear,12,5),1),"aaa")</f>
        <v>vr</v>
      </c>
      <c r="Q4" s="1" t="str">
        <f>TEXT(WEEKDAY(DATE(CalendarYear,12,6),1),"aaa")</f>
        <v>za</v>
      </c>
      <c r="R4" s="1" t="str">
        <f>TEXT(WEEKDAY(DATE(CalendarYear,12,7),1),"aaa")</f>
        <v>zo</v>
      </c>
      <c r="S4" s="1" t="str">
        <f>TEXT(WEEKDAY(DATE(CalendarYear,12,1),1),"aaa")</f>
        <v>ma</v>
      </c>
      <c r="T4" s="1" t="str">
        <f>TEXT(WEEKDAY(DATE(CalendarYear,12,2),1),"aaa")</f>
        <v>di</v>
      </c>
      <c r="U4" s="1" t="str">
        <f>TEXT(WEEKDAY(DATE(CalendarYear,12,3),1),"aaa")</f>
        <v>wo</v>
      </c>
      <c r="V4" s="1" t="str">
        <f>TEXT(WEEKDAY(DATE(CalendarYear,12,4),1),"aaa")</f>
        <v>do</v>
      </c>
      <c r="W4" s="1" t="str">
        <f>TEXT(WEEKDAY(DATE(CalendarYear,12,5),1),"aaa")</f>
        <v>vr</v>
      </c>
      <c r="X4" s="1" t="str">
        <f>TEXT(WEEKDAY(DATE(CalendarYear,12,6),1),"aaa")</f>
        <v>za</v>
      </c>
      <c r="Y4" s="1" t="str">
        <f>TEXT(WEEKDAY(DATE(CalendarYear,12,7),1),"aaa")</f>
        <v>zo</v>
      </c>
      <c r="Z4" s="1" t="str">
        <f>TEXT(WEEKDAY(DATE(CalendarYear,12,1),1),"aaa")</f>
        <v>ma</v>
      </c>
      <c r="AA4" s="1" t="str">
        <f>TEXT(WEEKDAY(DATE(CalendarYear,12,2),1),"aaa")</f>
        <v>di</v>
      </c>
      <c r="AB4" s="1" t="str">
        <f>TEXT(WEEKDAY(DATE(CalendarYear,12,3),1),"aaa")</f>
        <v>wo</v>
      </c>
      <c r="AC4" s="1" t="str">
        <f>TEXT(WEEKDAY(DATE(CalendarYear,12,4),1),"aaa")</f>
        <v>do</v>
      </c>
      <c r="AD4" s="1" t="str">
        <f>TEXT(WEEKDAY(DATE(CalendarYear,12,5),1),"aaa")</f>
        <v>vr</v>
      </c>
      <c r="AE4" s="1" t="str">
        <f>TEXT(WEEKDAY(DATE(CalendarYear,12,6),1),"aaa")</f>
        <v>za</v>
      </c>
      <c r="AF4" s="1" t="str">
        <f>TEXT(WEEKDAY(DATE(CalendarYear,12,7),1),"aaa")</f>
        <v>zo</v>
      </c>
      <c r="AG4" s="1" t="str">
        <f>TEXT(WEEKDAY(DATE(CalendarYear,12,1),1),"aaa")</f>
        <v>ma</v>
      </c>
      <c r="AH4" s="1" t="str">
        <f>TEXT(WEEKDAY(DATE(CalendarYear,12,2),1),"aaa")</f>
        <v>di</v>
      </c>
      <c r="AI4" s="1" t="str">
        <f>TEXT(WEEKDAY(DATE(CalendarYear,12,3),1),"aaa")</f>
        <v>wo</v>
      </c>
      <c r="AJ4" s="3"/>
      <c r="AK4" s="11" t="s">
        <v>2</v>
      </c>
      <c r="AL4" s="3"/>
    </row>
    <row r="5" spans="1:38" ht="15" customHeight="1" x14ac:dyDescent="0.2">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
      <c r="A6" t="s">
        <v>43</v>
      </c>
      <c r="D6" s="1" t="s">
        <v>61</v>
      </c>
      <c r="AJ6" s="8">
        <f>SUM(December[[#This Row],[1]:[31]])</f>
        <v>0</v>
      </c>
      <c r="AK6" s="1">
        <f>December[[#This Row],[Totaal aantal km]]*0.4</f>
        <v>0</v>
      </c>
      <c r="AL6" s="10"/>
    </row>
    <row r="7" spans="1:38" ht="30" customHeight="1" x14ac:dyDescent="0.2">
      <c r="A7" t="s">
        <v>66</v>
      </c>
      <c r="D7" s="1" t="s">
        <v>67</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2">
        <f>SUM(December[[#This Row],[1]:[31]])</f>
        <v>0</v>
      </c>
      <c r="AK7" s="1">
        <f>December[[#This Row],[Totaal aantal km]]*0.4</f>
        <v>0</v>
      </c>
      <c r="AL7" s="10"/>
    </row>
    <row r="8" spans="1:38" ht="30" customHeight="1" x14ac:dyDescent="0.2">
      <c r="A8" t="s">
        <v>42</v>
      </c>
      <c r="D8" s="1" t="s">
        <v>63</v>
      </c>
      <c r="AJ8" s="8">
        <f>SUM(December[[#This Row],[1]:[31]])</f>
        <v>0</v>
      </c>
      <c r="AK8" s="1">
        <f>December[[#This Row],[Totaal aantal km]]*0.4</f>
        <v>0</v>
      </c>
      <c r="AL8" s="10"/>
    </row>
    <row r="9" spans="1:38" ht="30" customHeight="1" x14ac:dyDescent="0.2">
      <c r="A9" t="s">
        <v>40</v>
      </c>
      <c r="D9" s="1" t="s">
        <v>62</v>
      </c>
      <c r="AJ9" s="8">
        <f>SUM(December[[#This Row],[1]:[31]])</f>
        <v>0</v>
      </c>
      <c r="AK9" s="1">
        <f>December[[#This Row],[Totaal aantal km]]*0.4</f>
        <v>0</v>
      </c>
      <c r="AL9" s="10"/>
    </row>
    <row r="10" spans="1:38" ht="30" customHeight="1" x14ac:dyDescent="0.2">
      <c r="A10" t="s">
        <v>41</v>
      </c>
      <c r="C10" s="18"/>
      <c r="D10" s="1" t="s">
        <v>68</v>
      </c>
      <c r="AJ10" s="8">
        <f>SUM(December[[#This Row],[1]:[31]])</f>
        <v>0</v>
      </c>
      <c r="AK10" s="1">
        <f>December[[#This Row],[Totaal aantal km]]*0.4</f>
        <v>0</v>
      </c>
      <c r="AL10" s="10"/>
    </row>
    <row r="11" spans="1:38" ht="30" customHeight="1" x14ac:dyDescent="0.2">
      <c r="A11" t="s">
        <v>64</v>
      </c>
      <c r="D11" s="1" t="s">
        <v>65</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2">
        <f>SUM(December[[#This Row],[1]:[31]])</f>
        <v>0</v>
      </c>
      <c r="AK11" s="1">
        <f>December[[#This Row],[Totaal aantal km]]*0.4</f>
        <v>0</v>
      </c>
      <c r="AL11" s="10"/>
    </row>
    <row r="12" spans="1:38" ht="30" customHeight="1" x14ac:dyDescent="0.2">
      <c r="A12" t="s">
        <v>69</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2">
        <f>SUM(December[[#This Row],[1]:[31]])</f>
        <v>0</v>
      </c>
      <c r="AK12" s="1">
        <f>December[[#This Row],[Totaal aantal km]]*0.4</f>
        <v>0</v>
      </c>
      <c r="AL12" s="10"/>
    </row>
    <row r="13" spans="1:38" ht="30" customHeight="1" thickBot="1" x14ac:dyDescent="0.25">
      <c r="A13" s="12"/>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t="s">
        <v>57</v>
      </c>
      <c r="AK13" s="16">
        <f>SUM(AK6:AK12)</f>
        <v>0</v>
      </c>
      <c r="AL13" s="10"/>
    </row>
  </sheetData>
  <mergeCells count="1">
    <mergeCell ref="E3:AI3"/>
  </mergeCells>
  <conditionalFormatting sqref="E6:AI12">
    <cfRule type="expression" priority="1" stopIfTrue="1">
      <formula>E6=""</formula>
    </cfRule>
    <cfRule type="expression" dxfId="4" priority="2" stopIfTrue="1">
      <formula>E6=KeyCustom2</formula>
    </cfRule>
    <cfRule type="expression" dxfId="3" priority="3" stopIfTrue="1">
      <formula>E6=KeyCustom1</formula>
    </cfRule>
    <cfRule type="expression" dxfId="2" priority="4" stopIfTrue="1">
      <formula>E6=KeySick</formula>
    </cfRule>
    <cfRule type="expression" dxfId="1" priority="5" stopIfTrue="1">
      <formula>E6=KeyPersonal</formula>
    </cfRule>
    <cfRule type="expression" dxfId="0" priority="6" stopIfTrue="1">
      <formula>E6=KeyVacation</formula>
    </cfRule>
  </conditionalFormatting>
  <conditionalFormatting sqref="AJ6:AJ12">
    <cfRule type="dataBar" priority="319">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7">
    <dataValidation allowBlank="1" showInputMessage="1" showErrorMessage="1" prompt="Automatisch bijgewerkt jaar op basis van het jaar dat in het werkblad januari is ingevoerd" sqref="AJ3" xr:uid="{00000000-0002-0000-0B00-000000000000}"/>
    <dataValidation allowBlank="1" showInputMessage="1" showErrorMessage="1" prompt="Berekent automatisch het totaal aantal dagen die een werknemer in deze maand niet aanwezig was in deze kolom" sqref="AJ5" xr:uid="{00000000-0002-0000-0B00-000001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B00-000003000000}"/>
    <dataValidation allowBlank="1" showInputMessage="1" showErrorMessage="1" prompt="De titel wordt automatisch bijgewerkt in deze cel. Als u de titel wilt wijzigen, werk B1 in het januari-werkblad bij" sqref="A1:D1" xr:uid="{00000000-0002-0000-0B00-000004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B00-00000B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B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B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AJ6:AJ12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46261B-5877-4F99-86F1-C9E84FF0E0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TM03987167</Template>
  <Application>Microsoft Macintosh Excel</Application>
  <DocSecurity>0</DocSecurity>
  <ScaleCrop>false</ScaleCrop>
  <HeadingPairs>
    <vt:vector size="4" baseType="variant">
      <vt:variant>
        <vt:lpstr>Werkbladen</vt:lpstr>
      </vt:variant>
      <vt:variant>
        <vt:i4>13</vt:i4>
      </vt:variant>
      <vt:variant>
        <vt:lpstr>Benoemde bereiken</vt:lpstr>
      </vt:variant>
      <vt:variant>
        <vt:i4>49</vt:i4>
      </vt:variant>
    </vt:vector>
  </HeadingPairs>
  <TitlesOfParts>
    <vt:vector size="62" baseType="lpstr">
      <vt:lpstr>Januari</vt:lpstr>
      <vt:lpstr>Werknemers</vt:lpstr>
      <vt:lpstr>Februari</vt:lpstr>
      <vt:lpstr>Maart</vt:lpstr>
      <vt:lpstr>April</vt:lpstr>
      <vt:lpstr>Mei</vt:lpstr>
      <vt:lpstr>Juni</vt:lpstr>
      <vt:lpstr>Juli</vt:lpstr>
      <vt:lpstr>Augustus</vt:lpstr>
      <vt:lpstr>September</vt:lpstr>
      <vt:lpstr>Oktober</vt:lpstr>
      <vt:lpstr>November</vt:lpstr>
      <vt:lpstr>December</vt:lpstr>
      <vt:lpstr>April!Afdruktitels</vt:lpstr>
      <vt:lpstr>Augustus!Afdruktitels</vt:lpstr>
      <vt:lpstr>December!Afdruktitels</vt:lpstr>
      <vt:lpstr>Februari!Afdruktitels</vt:lpstr>
      <vt:lpstr>Januari!Afdruktitels</vt:lpstr>
      <vt:lpstr>Juli!Afdruktitels</vt:lpstr>
      <vt:lpstr>Juni!Afdruktitels</vt:lpstr>
      <vt:lpstr>Maart!Afdruktitels</vt:lpstr>
      <vt:lpstr>Mei!Afdruktitels</vt:lpstr>
      <vt:lpstr>November!Afdruktitels</vt:lpstr>
      <vt:lpstr>Oktober!Afdruktitels</vt:lpstr>
      <vt:lpstr>September!Afdruktitels</vt:lpstr>
      <vt:lpstr>CalendarYear</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Augustus!MonthName</vt:lpstr>
      <vt:lpstr>December!MonthName</vt:lpstr>
      <vt:lpstr>Februari!MonthName</vt:lpstr>
      <vt:lpstr>Januari!MonthName</vt:lpstr>
      <vt:lpstr>Juli!MonthName</vt:lpstr>
      <vt:lpstr>Juni!MonthName</vt:lpstr>
      <vt:lpstr>Maart!MonthName</vt:lpstr>
      <vt:lpstr>Mei!MonthName</vt:lpstr>
      <vt:lpstr>November!MonthName</vt:lpstr>
      <vt:lpstr>Oktober!MonthName</vt:lpstr>
      <vt:lpstr>September!MonthName</vt:lpstr>
      <vt:lpstr>Titel1</vt:lpstr>
      <vt:lpstr>Titel10</vt:lpstr>
      <vt:lpstr>Titel11</vt:lpstr>
      <vt:lpstr>Titel12</vt:lpstr>
      <vt:lpstr>Titel2</vt:lpstr>
      <vt:lpstr>Titel3</vt:lpstr>
      <vt:lpstr>Titel4</vt:lpstr>
      <vt:lpstr>Titel5</vt:lpstr>
      <vt:lpstr>Titel6</vt:lpstr>
      <vt:lpstr>Titel7</vt:lpstr>
      <vt:lpstr>Titel8</vt:lpstr>
      <vt:lpstr>Titel9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Gultekin</dc:creator>
  <cp:keywords/>
  <dc:description/>
  <cp:lastModifiedBy>Abdullah Gultekin</cp:lastModifiedBy>
  <cp:revision/>
  <cp:lastPrinted>2025-07-05T14:43:04Z</cp:lastPrinted>
  <dcterms:created xsi:type="dcterms:W3CDTF">2016-12-06T04:52:27Z</dcterms:created>
  <dcterms:modified xsi:type="dcterms:W3CDTF">2025-12-18T16:38:19Z</dcterms:modified>
  <cp:category/>
  <cp:contentStatus/>
</cp:coreProperties>
</file>